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1. INKOOP\09 VOORRAAD OPTIMALISATIE\2026\"/>
    </mc:Choice>
  </mc:AlternateContent>
  <xr:revisionPtr revIDLastSave="0" documentId="8_{1AAA7BEE-139A-4BFF-88C5-9B39CFFFFB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_FilterDatabase" localSheetId="0" hidden="1">Blad1!$A$1:$AF$262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1" i="1" l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8" i="1"/>
  <c r="S28" i="1"/>
  <c r="T28" i="1"/>
  <c r="V28" i="1"/>
  <c r="X28" i="1"/>
  <c r="Y28" i="1"/>
  <c r="AF28" i="1"/>
  <c r="R29" i="1"/>
  <c r="S29" i="1"/>
  <c r="T29" i="1"/>
  <c r="V29" i="1"/>
  <c r="W29" i="1"/>
  <c r="X29" i="1"/>
  <c r="AF29" i="1"/>
  <c r="R30" i="1"/>
  <c r="S30" i="1"/>
  <c r="T30" i="1"/>
  <c r="V30" i="1"/>
  <c r="AF30" i="1"/>
  <c r="R31" i="1"/>
  <c r="S31" i="1"/>
  <c r="T31" i="1"/>
  <c r="V31" i="1"/>
  <c r="AF31" i="1"/>
  <c r="R32" i="1"/>
  <c r="S32" i="1"/>
  <c r="T32" i="1"/>
  <c r="V32" i="1"/>
  <c r="X32" i="1"/>
  <c r="Y32" i="1"/>
  <c r="AF32" i="1"/>
  <c r="R33" i="1"/>
  <c r="S33" i="1"/>
  <c r="T33" i="1"/>
  <c r="V33" i="1"/>
  <c r="W33" i="1"/>
  <c r="X33" i="1"/>
  <c r="AF33" i="1"/>
  <c r="R34" i="1"/>
  <c r="S34" i="1"/>
  <c r="T34" i="1"/>
  <c r="V34" i="1"/>
  <c r="AF34" i="1"/>
  <c r="R35" i="1"/>
  <c r="S35" i="1"/>
  <c r="T35" i="1"/>
  <c r="V35" i="1"/>
  <c r="AF35" i="1"/>
  <c r="R36" i="1"/>
  <c r="S36" i="1"/>
  <c r="T36" i="1"/>
  <c r="V36" i="1"/>
  <c r="X36" i="1"/>
  <c r="Y36" i="1"/>
  <c r="AF36" i="1"/>
  <c r="R37" i="1"/>
  <c r="S37" i="1"/>
  <c r="T37" i="1"/>
  <c r="V37" i="1"/>
  <c r="W37" i="1"/>
  <c r="X37" i="1"/>
  <c r="AF37" i="1"/>
  <c r="R38" i="1"/>
  <c r="S38" i="1"/>
  <c r="T38" i="1"/>
  <c r="V38" i="1"/>
  <c r="AF38" i="1"/>
  <c r="R39" i="1"/>
  <c r="S39" i="1"/>
  <c r="T39" i="1"/>
  <c r="V39" i="1"/>
  <c r="AF39" i="1"/>
  <c r="R40" i="1"/>
  <c r="S40" i="1"/>
  <c r="T40" i="1"/>
  <c r="V40" i="1"/>
  <c r="X40" i="1"/>
  <c r="Y40" i="1"/>
  <c r="AF4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W40" i="1" l="1"/>
  <c r="W39" i="1"/>
  <c r="W38" i="1"/>
  <c r="W36" i="1"/>
  <c r="W35" i="1"/>
  <c r="W34" i="1"/>
  <c r="W32" i="1"/>
  <c r="W31" i="1"/>
  <c r="W30" i="1"/>
  <c r="W28" i="1"/>
  <c r="X262" i="1"/>
  <c r="Y262" i="1" s="1"/>
  <c r="W262" i="1"/>
  <c r="X261" i="1"/>
  <c r="Y261" i="1" s="1"/>
  <c r="W261" i="1"/>
  <c r="X260" i="1"/>
  <c r="Y260" i="1" s="1"/>
  <c r="W260" i="1"/>
  <c r="X259" i="1"/>
  <c r="Y259" i="1" s="1"/>
  <c r="W259" i="1"/>
  <c r="X258" i="1"/>
  <c r="Y258" i="1" s="1"/>
  <c r="W258" i="1"/>
  <c r="X257" i="1"/>
  <c r="Y257" i="1" s="1"/>
  <c r="W257" i="1"/>
  <c r="X256" i="1"/>
  <c r="Y256" i="1" s="1"/>
  <c r="W256" i="1"/>
  <c r="X255" i="1"/>
  <c r="Y255" i="1" s="1"/>
  <c r="W255" i="1"/>
  <c r="X254" i="1"/>
  <c r="Y254" i="1" s="1"/>
  <c r="W254" i="1"/>
  <c r="X253" i="1"/>
  <c r="Y253" i="1" s="1"/>
  <c r="W253" i="1"/>
  <c r="X252" i="1"/>
  <c r="Y252" i="1" s="1"/>
  <c r="W252" i="1"/>
  <c r="X251" i="1"/>
  <c r="Y251" i="1" s="1"/>
  <c r="W251" i="1"/>
  <c r="X250" i="1"/>
  <c r="Y250" i="1" s="1"/>
  <c r="W250" i="1"/>
  <c r="X249" i="1"/>
  <c r="Y249" i="1" s="1"/>
  <c r="W249" i="1"/>
  <c r="X248" i="1"/>
  <c r="Y248" i="1" s="1"/>
  <c r="W248" i="1"/>
  <c r="X247" i="1"/>
  <c r="Y247" i="1" s="1"/>
  <c r="W247" i="1"/>
  <c r="X246" i="1"/>
  <c r="Y246" i="1" s="1"/>
  <c r="W246" i="1"/>
  <c r="X245" i="1"/>
  <c r="Y245" i="1" s="1"/>
  <c r="W245" i="1"/>
  <c r="X244" i="1"/>
  <c r="Y244" i="1" s="1"/>
  <c r="W244" i="1"/>
  <c r="X243" i="1"/>
  <c r="Y243" i="1" s="1"/>
  <c r="W243" i="1"/>
  <c r="X242" i="1"/>
  <c r="Y242" i="1" s="1"/>
  <c r="W242" i="1"/>
  <c r="X241" i="1"/>
  <c r="Y241" i="1" s="1"/>
  <c r="W241" i="1"/>
  <c r="X240" i="1"/>
  <c r="Y240" i="1" s="1"/>
  <c r="W240" i="1"/>
  <c r="X239" i="1"/>
  <c r="Y239" i="1" s="1"/>
  <c r="W239" i="1"/>
  <c r="X238" i="1"/>
  <c r="Y238" i="1" s="1"/>
  <c r="W238" i="1"/>
  <c r="X237" i="1"/>
  <c r="Y237" i="1" s="1"/>
  <c r="W237" i="1"/>
  <c r="X236" i="1"/>
  <c r="Y236" i="1" s="1"/>
  <c r="W236" i="1"/>
  <c r="X235" i="1"/>
  <c r="Y235" i="1" s="1"/>
  <c r="W235" i="1"/>
  <c r="X234" i="1"/>
  <c r="Y234" i="1" s="1"/>
  <c r="W234" i="1"/>
  <c r="X233" i="1"/>
  <c r="Y233" i="1" s="1"/>
  <c r="W233" i="1"/>
  <c r="X232" i="1"/>
  <c r="Y232" i="1" s="1"/>
  <c r="W232" i="1"/>
  <c r="X231" i="1"/>
  <c r="Y231" i="1" s="1"/>
  <c r="W231" i="1"/>
  <c r="X230" i="1"/>
  <c r="Y230" i="1" s="1"/>
  <c r="W230" i="1"/>
  <c r="X229" i="1"/>
  <c r="Y229" i="1" s="1"/>
  <c r="W229" i="1"/>
  <c r="X228" i="1"/>
  <c r="Y228" i="1" s="1"/>
  <c r="W228" i="1"/>
  <c r="X227" i="1"/>
  <c r="Y227" i="1" s="1"/>
  <c r="W227" i="1"/>
  <c r="X226" i="1"/>
  <c r="Y226" i="1" s="1"/>
  <c r="W226" i="1"/>
  <c r="X225" i="1"/>
  <c r="Y225" i="1" s="1"/>
  <c r="W225" i="1"/>
  <c r="X224" i="1"/>
  <c r="Y224" i="1" s="1"/>
  <c r="W224" i="1"/>
  <c r="X223" i="1"/>
  <c r="Y223" i="1" s="1"/>
  <c r="W223" i="1"/>
  <c r="X222" i="1"/>
  <c r="Y222" i="1" s="1"/>
  <c r="W222" i="1"/>
  <c r="X221" i="1"/>
  <c r="Y221" i="1" s="1"/>
  <c r="W221" i="1"/>
  <c r="X220" i="1"/>
  <c r="Y220" i="1" s="1"/>
  <c r="W220" i="1"/>
  <c r="X219" i="1"/>
  <c r="Y219" i="1" s="1"/>
  <c r="W219" i="1"/>
  <c r="X218" i="1"/>
  <c r="Y218" i="1" s="1"/>
  <c r="W218" i="1"/>
  <c r="X217" i="1"/>
  <c r="Y217" i="1" s="1"/>
  <c r="W217" i="1"/>
  <c r="X216" i="1"/>
  <c r="Y216" i="1" s="1"/>
  <c r="W216" i="1"/>
  <c r="X215" i="1"/>
  <c r="Y215" i="1" s="1"/>
  <c r="W215" i="1"/>
  <c r="X214" i="1"/>
  <c r="Y214" i="1" s="1"/>
  <c r="W214" i="1"/>
  <c r="X213" i="1"/>
  <c r="Y213" i="1" s="1"/>
  <c r="W213" i="1"/>
  <c r="X212" i="1"/>
  <c r="Y212" i="1" s="1"/>
  <c r="W212" i="1"/>
  <c r="X211" i="1"/>
  <c r="Y211" i="1" s="1"/>
  <c r="W211" i="1"/>
  <c r="X210" i="1"/>
  <c r="Y210" i="1" s="1"/>
  <c r="W210" i="1"/>
  <c r="X209" i="1"/>
  <c r="Y209" i="1" s="1"/>
  <c r="W209" i="1"/>
  <c r="X208" i="1"/>
  <c r="Y208" i="1" s="1"/>
  <c r="W208" i="1"/>
  <c r="X207" i="1"/>
  <c r="Y207" i="1" s="1"/>
  <c r="W207" i="1"/>
  <c r="X206" i="1"/>
  <c r="Y206" i="1" s="1"/>
  <c r="W206" i="1"/>
  <c r="X205" i="1"/>
  <c r="Y205" i="1" s="1"/>
  <c r="W205" i="1"/>
  <c r="X204" i="1"/>
  <c r="Y204" i="1" s="1"/>
  <c r="W204" i="1"/>
  <c r="X203" i="1"/>
  <c r="Y203" i="1" s="1"/>
  <c r="W203" i="1"/>
  <c r="X202" i="1"/>
  <c r="Y202" i="1" s="1"/>
  <c r="W202" i="1"/>
  <c r="X201" i="1"/>
  <c r="Y201" i="1" s="1"/>
  <c r="W201" i="1"/>
  <c r="X200" i="1"/>
  <c r="Y200" i="1" s="1"/>
  <c r="W200" i="1"/>
  <c r="X199" i="1"/>
  <c r="Y199" i="1" s="1"/>
  <c r="W199" i="1"/>
  <c r="X198" i="1"/>
  <c r="Y198" i="1" s="1"/>
  <c r="W198" i="1"/>
  <c r="X197" i="1"/>
  <c r="Y197" i="1" s="1"/>
  <c r="W197" i="1"/>
  <c r="X196" i="1"/>
  <c r="Y196" i="1" s="1"/>
  <c r="W196" i="1"/>
  <c r="X195" i="1"/>
  <c r="Y195" i="1" s="1"/>
  <c r="W195" i="1"/>
  <c r="X194" i="1"/>
  <c r="Y194" i="1" s="1"/>
  <c r="W194" i="1"/>
  <c r="X193" i="1"/>
  <c r="Y193" i="1" s="1"/>
  <c r="W193" i="1"/>
  <c r="X192" i="1"/>
  <c r="Y192" i="1" s="1"/>
  <c r="W192" i="1"/>
  <c r="X191" i="1"/>
  <c r="Y191" i="1" s="1"/>
  <c r="W191" i="1"/>
  <c r="X190" i="1"/>
  <c r="Y190" i="1" s="1"/>
  <c r="W190" i="1"/>
  <c r="X189" i="1"/>
  <c r="Y189" i="1" s="1"/>
  <c r="W189" i="1"/>
  <c r="X188" i="1"/>
  <c r="Y188" i="1" s="1"/>
  <c r="W188" i="1"/>
  <c r="X187" i="1"/>
  <c r="Y187" i="1" s="1"/>
  <c r="W187" i="1"/>
  <c r="X186" i="1"/>
  <c r="Y186" i="1" s="1"/>
  <c r="W186" i="1"/>
  <c r="X185" i="1"/>
  <c r="Y185" i="1" s="1"/>
  <c r="W185" i="1"/>
  <c r="X184" i="1"/>
  <c r="Y184" i="1" s="1"/>
  <c r="W184" i="1"/>
  <c r="X183" i="1"/>
  <c r="Y183" i="1" s="1"/>
  <c r="W183" i="1"/>
  <c r="X182" i="1"/>
  <c r="Y182" i="1" s="1"/>
  <c r="W182" i="1"/>
  <c r="X181" i="1"/>
  <c r="Y181" i="1" s="1"/>
  <c r="W181" i="1"/>
  <c r="X180" i="1"/>
  <c r="Y180" i="1" s="1"/>
  <c r="W180" i="1"/>
  <c r="X179" i="1"/>
  <c r="Y179" i="1" s="1"/>
  <c r="W179" i="1"/>
  <c r="X178" i="1"/>
  <c r="Y178" i="1" s="1"/>
  <c r="W178" i="1"/>
  <c r="X177" i="1"/>
  <c r="Y177" i="1" s="1"/>
  <c r="W177" i="1"/>
  <c r="X176" i="1"/>
  <c r="Y176" i="1" s="1"/>
  <c r="W176" i="1"/>
  <c r="X175" i="1"/>
  <c r="Y175" i="1" s="1"/>
  <c r="W175" i="1"/>
  <c r="X174" i="1"/>
  <c r="Y174" i="1" s="1"/>
  <c r="W174" i="1"/>
  <c r="X173" i="1"/>
  <c r="Y173" i="1" s="1"/>
  <c r="W173" i="1"/>
  <c r="X172" i="1"/>
  <c r="Y172" i="1" s="1"/>
  <c r="W172" i="1"/>
  <c r="X171" i="1"/>
  <c r="Y171" i="1" s="1"/>
  <c r="W171" i="1"/>
  <c r="X170" i="1"/>
  <c r="Y170" i="1" s="1"/>
  <c r="W170" i="1"/>
  <c r="X169" i="1"/>
  <c r="Y169" i="1" s="1"/>
  <c r="W169" i="1"/>
  <c r="X168" i="1"/>
  <c r="Y168" i="1" s="1"/>
  <c r="W168" i="1"/>
  <c r="X167" i="1"/>
  <c r="Y167" i="1" s="1"/>
  <c r="W167" i="1"/>
  <c r="X166" i="1"/>
  <c r="Y166" i="1" s="1"/>
  <c r="W166" i="1"/>
  <c r="X165" i="1"/>
  <c r="Y165" i="1" s="1"/>
  <c r="W165" i="1"/>
  <c r="X164" i="1"/>
  <c r="Y164" i="1" s="1"/>
  <c r="W164" i="1"/>
  <c r="X163" i="1"/>
  <c r="Y163" i="1" s="1"/>
  <c r="W163" i="1"/>
  <c r="X162" i="1"/>
  <c r="Y162" i="1" s="1"/>
  <c r="W162" i="1"/>
  <c r="X161" i="1"/>
  <c r="Y161" i="1" s="1"/>
  <c r="W161" i="1"/>
  <c r="X160" i="1"/>
  <c r="Y160" i="1" s="1"/>
  <c r="W160" i="1"/>
  <c r="X159" i="1"/>
  <c r="Y159" i="1" s="1"/>
  <c r="W159" i="1"/>
  <c r="X158" i="1"/>
  <c r="Y158" i="1" s="1"/>
  <c r="W158" i="1"/>
  <c r="X157" i="1"/>
  <c r="Y157" i="1" s="1"/>
  <c r="W157" i="1"/>
  <c r="X156" i="1"/>
  <c r="Y156" i="1" s="1"/>
  <c r="W156" i="1"/>
  <c r="X155" i="1"/>
  <c r="Y155" i="1" s="1"/>
  <c r="W155" i="1"/>
  <c r="X154" i="1"/>
  <c r="Y154" i="1" s="1"/>
  <c r="W154" i="1"/>
  <c r="X153" i="1"/>
  <c r="Y153" i="1" s="1"/>
  <c r="W153" i="1"/>
  <c r="X152" i="1"/>
  <c r="Y152" i="1" s="1"/>
  <c r="W152" i="1"/>
  <c r="X151" i="1"/>
  <c r="Y151" i="1" s="1"/>
  <c r="W151" i="1"/>
  <c r="X150" i="1"/>
  <c r="Y150" i="1" s="1"/>
  <c r="W150" i="1"/>
  <c r="X149" i="1"/>
  <c r="Y149" i="1" s="1"/>
  <c r="W149" i="1"/>
  <c r="X148" i="1"/>
  <c r="Y148" i="1" s="1"/>
  <c r="W148" i="1"/>
  <c r="X147" i="1"/>
  <c r="Y147" i="1" s="1"/>
  <c r="W147" i="1"/>
  <c r="X146" i="1"/>
  <c r="Y146" i="1" s="1"/>
  <c r="W146" i="1"/>
  <c r="X145" i="1"/>
  <c r="Y145" i="1" s="1"/>
  <c r="W145" i="1"/>
  <c r="X144" i="1"/>
  <c r="Y144" i="1" s="1"/>
  <c r="W144" i="1"/>
  <c r="X143" i="1"/>
  <c r="Y143" i="1" s="1"/>
  <c r="W143" i="1"/>
  <c r="X142" i="1"/>
  <c r="Y142" i="1" s="1"/>
  <c r="W142" i="1"/>
  <c r="X141" i="1"/>
  <c r="Y141" i="1" s="1"/>
  <c r="W141" i="1"/>
  <c r="X140" i="1"/>
  <c r="Y140" i="1" s="1"/>
  <c r="W140" i="1"/>
  <c r="X139" i="1"/>
  <c r="Y139" i="1" s="1"/>
  <c r="W139" i="1"/>
  <c r="X138" i="1"/>
  <c r="Y138" i="1" s="1"/>
  <c r="W138" i="1"/>
  <c r="X137" i="1"/>
  <c r="Y137" i="1" s="1"/>
  <c r="W137" i="1"/>
  <c r="X136" i="1"/>
  <c r="Y136" i="1" s="1"/>
  <c r="W136" i="1"/>
  <c r="X135" i="1"/>
  <c r="Y135" i="1" s="1"/>
  <c r="W135" i="1"/>
  <c r="X134" i="1"/>
  <c r="Y134" i="1" s="1"/>
  <c r="W134" i="1"/>
  <c r="X133" i="1"/>
  <c r="Y133" i="1" s="1"/>
  <c r="W133" i="1"/>
  <c r="X132" i="1"/>
  <c r="Y132" i="1" s="1"/>
  <c r="W132" i="1"/>
  <c r="X131" i="1"/>
  <c r="Y131" i="1" s="1"/>
  <c r="W131" i="1"/>
  <c r="X130" i="1"/>
  <c r="Y130" i="1" s="1"/>
  <c r="W130" i="1"/>
  <c r="X129" i="1"/>
  <c r="Y129" i="1" s="1"/>
  <c r="W129" i="1"/>
  <c r="X128" i="1"/>
  <c r="Y128" i="1" s="1"/>
  <c r="W128" i="1"/>
  <c r="X127" i="1"/>
  <c r="Y127" i="1" s="1"/>
  <c r="W127" i="1"/>
  <c r="X126" i="1"/>
  <c r="Y126" i="1" s="1"/>
  <c r="W126" i="1"/>
  <c r="X125" i="1"/>
  <c r="Y125" i="1" s="1"/>
  <c r="W125" i="1"/>
  <c r="X124" i="1"/>
  <c r="Y124" i="1" s="1"/>
  <c r="W124" i="1"/>
  <c r="X123" i="1"/>
  <c r="Y123" i="1" s="1"/>
  <c r="W123" i="1"/>
  <c r="X122" i="1"/>
  <c r="Y122" i="1" s="1"/>
  <c r="W122" i="1"/>
  <c r="X121" i="1"/>
  <c r="Y121" i="1" s="1"/>
  <c r="W121" i="1"/>
  <c r="X120" i="1"/>
  <c r="Y120" i="1" s="1"/>
  <c r="W120" i="1"/>
  <c r="X119" i="1"/>
  <c r="Y119" i="1" s="1"/>
  <c r="W119" i="1"/>
  <c r="X118" i="1"/>
  <c r="Y118" i="1" s="1"/>
  <c r="W118" i="1"/>
  <c r="X117" i="1"/>
  <c r="Y117" i="1" s="1"/>
  <c r="W117" i="1"/>
  <c r="X116" i="1"/>
  <c r="Y116" i="1" s="1"/>
  <c r="W116" i="1"/>
  <c r="X115" i="1"/>
  <c r="Y115" i="1" s="1"/>
  <c r="W115" i="1"/>
  <c r="X114" i="1"/>
  <c r="Y114" i="1" s="1"/>
  <c r="W114" i="1"/>
  <c r="X113" i="1"/>
  <c r="Y113" i="1" s="1"/>
  <c r="W113" i="1"/>
  <c r="X112" i="1"/>
  <c r="Y112" i="1" s="1"/>
  <c r="W112" i="1"/>
  <c r="X111" i="1"/>
  <c r="Y111" i="1" s="1"/>
  <c r="W111" i="1"/>
  <c r="X110" i="1"/>
  <c r="Y110" i="1" s="1"/>
  <c r="W110" i="1"/>
  <c r="X109" i="1"/>
  <c r="Y109" i="1" s="1"/>
  <c r="W109" i="1"/>
  <c r="X108" i="1"/>
  <c r="Y108" i="1" s="1"/>
  <c r="W108" i="1"/>
  <c r="X107" i="1"/>
  <c r="Y107" i="1" s="1"/>
  <c r="W107" i="1"/>
  <c r="X106" i="1"/>
  <c r="Y106" i="1" s="1"/>
  <c r="W106" i="1"/>
  <c r="X105" i="1"/>
  <c r="Y105" i="1" s="1"/>
  <c r="W105" i="1"/>
  <c r="X104" i="1"/>
  <c r="Y104" i="1" s="1"/>
  <c r="W104" i="1"/>
  <c r="X103" i="1"/>
  <c r="Y103" i="1" s="1"/>
  <c r="W103" i="1"/>
  <c r="X102" i="1"/>
  <c r="Y102" i="1" s="1"/>
  <c r="W102" i="1"/>
  <c r="X101" i="1"/>
  <c r="Y101" i="1" s="1"/>
  <c r="W101" i="1"/>
  <c r="X100" i="1"/>
  <c r="Y100" i="1" s="1"/>
  <c r="W100" i="1"/>
  <c r="X99" i="1"/>
  <c r="Y99" i="1" s="1"/>
  <c r="W99" i="1"/>
  <c r="X98" i="1"/>
  <c r="Y98" i="1" s="1"/>
  <c r="W98" i="1"/>
  <c r="X97" i="1"/>
  <c r="Y97" i="1" s="1"/>
  <c r="W97" i="1"/>
  <c r="X96" i="1"/>
  <c r="Y96" i="1" s="1"/>
  <c r="W96" i="1"/>
  <c r="X95" i="1"/>
  <c r="Y95" i="1" s="1"/>
  <c r="W95" i="1"/>
  <c r="X94" i="1"/>
  <c r="Y94" i="1" s="1"/>
  <c r="W94" i="1"/>
  <c r="X93" i="1"/>
  <c r="Y93" i="1" s="1"/>
  <c r="W93" i="1"/>
  <c r="X92" i="1"/>
  <c r="Y92" i="1" s="1"/>
  <c r="W92" i="1"/>
  <c r="X91" i="1"/>
  <c r="Y91" i="1" s="1"/>
  <c r="W91" i="1"/>
  <c r="X90" i="1"/>
  <c r="Y90" i="1" s="1"/>
  <c r="W90" i="1"/>
  <c r="X89" i="1"/>
  <c r="Y89" i="1" s="1"/>
  <c r="W89" i="1"/>
  <c r="X88" i="1"/>
  <c r="Y88" i="1" s="1"/>
  <c r="W88" i="1"/>
  <c r="X87" i="1"/>
  <c r="Y87" i="1" s="1"/>
  <c r="W87" i="1"/>
  <c r="X86" i="1"/>
  <c r="Y86" i="1" s="1"/>
  <c r="W86" i="1"/>
  <c r="X85" i="1"/>
  <c r="Y85" i="1" s="1"/>
  <c r="W85" i="1"/>
  <c r="X84" i="1"/>
  <c r="Y84" i="1" s="1"/>
  <c r="W84" i="1"/>
  <c r="X83" i="1"/>
  <c r="Y83" i="1" s="1"/>
  <c r="W83" i="1"/>
  <c r="X82" i="1"/>
  <c r="Y82" i="1" s="1"/>
  <c r="W82" i="1"/>
  <c r="X81" i="1"/>
  <c r="Y81" i="1" s="1"/>
  <c r="W81" i="1"/>
  <c r="X80" i="1"/>
  <c r="Y80" i="1" s="1"/>
  <c r="W80" i="1"/>
  <c r="X79" i="1"/>
  <c r="Y79" i="1" s="1"/>
  <c r="W79" i="1"/>
  <c r="X78" i="1"/>
  <c r="Y78" i="1" s="1"/>
  <c r="W78" i="1"/>
  <c r="X77" i="1"/>
  <c r="Y77" i="1" s="1"/>
  <c r="W77" i="1"/>
  <c r="X76" i="1"/>
  <c r="Y76" i="1" s="1"/>
  <c r="W76" i="1"/>
  <c r="X75" i="1"/>
  <c r="Y75" i="1" s="1"/>
  <c r="W75" i="1"/>
  <c r="X74" i="1"/>
  <c r="Y74" i="1" s="1"/>
  <c r="W74" i="1"/>
  <c r="X73" i="1"/>
  <c r="Y73" i="1" s="1"/>
  <c r="W73" i="1"/>
  <c r="X72" i="1"/>
  <c r="Y72" i="1" s="1"/>
  <c r="W72" i="1"/>
  <c r="X71" i="1"/>
  <c r="Y71" i="1" s="1"/>
  <c r="W71" i="1"/>
  <c r="X70" i="1"/>
  <c r="Y70" i="1" s="1"/>
  <c r="W70" i="1"/>
  <c r="X69" i="1"/>
  <c r="Y69" i="1" s="1"/>
  <c r="W69" i="1"/>
  <c r="X68" i="1"/>
  <c r="Y68" i="1" s="1"/>
  <c r="W68" i="1"/>
  <c r="X67" i="1"/>
  <c r="Y67" i="1" s="1"/>
  <c r="W67" i="1"/>
  <c r="X66" i="1"/>
  <c r="Y66" i="1" s="1"/>
  <c r="W66" i="1"/>
  <c r="X65" i="1"/>
  <c r="Y65" i="1" s="1"/>
  <c r="W65" i="1"/>
  <c r="X64" i="1"/>
  <c r="Y64" i="1" s="1"/>
  <c r="W64" i="1"/>
  <c r="X63" i="1"/>
  <c r="Y63" i="1" s="1"/>
  <c r="W63" i="1"/>
  <c r="X62" i="1"/>
  <c r="Y62" i="1" s="1"/>
  <c r="W62" i="1"/>
  <c r="X61" i="1"/>
  <c r="Y61" i="1" s="1"/>
  <c r="W61" i="1"/>
  <c r="X60" i="1"/>
  <c r="Y60" i="1" s="1"/>
  <c r="W60" i="1"/>
  <c r="X59" i="1"/>
  <c r="Y59" i="1" s="1"/>
  <c r="W59" i="1"/>
  <c r="X58" i="1"/>
  <c r="Y58" i="1" s="1"/>
  <c r="W58" i="1"/>
  <c r="X57" i="1"/>
  <c r="Y57" i="1" s="1"/>
  <c r="W57" i="1"/>
  <c r="X56" i="1"/>
  <c r="Y56" i="1" s="1"/>
  <c r="W56" i="1"/>
  <c r="X55" i="1"/>
  <c r="Y55" i="1" s="1"/>
  <c r="W55" i="1"/>
  <c r="X54" i="1"/>
  <c r="Y54" i="1" s="1"/>
  <c r="W54" i="1"/>
  <c r="X53" i="1"/>
  <c r="Y53" i="1" s="1"/>
  <c r="W53" i="1"/>
  <c r="X52" i="1"/>
  <c r="Y52" i="1" s="1"/>
  <c r="W52" i="1"/>
  <c r="X51" i="1"/>
  <c r="Y51" i="1" s="1"/>
  <c r="W51" i="1"/>
  <c r="X50" i="1"/>
  <c r="Y50" i="1" s="1"/>
  <c r="W50" i="1"/>
  <c r="X49" i="1"/>
  <c r="Y49" i="1" s="1"/>
  <c r="W49" i="1"/>
  <c r="X48" i="1"/>
  <c r="Y48" i="1" s="1"/>
  <c r="W48" i="1"/>
  <c r="X47" i="1"/>
  <c r="Y47" i="1" s="1"/>
  <c r="W47" i="1"/>
  <c r="X46" i="1"/>
  <c r="Y46" i="1" s="1"/>
  <c r="W46" i="1"/>
  <c r="X45" i="1"/>
  <c r="Y45" i="1" s="1"/>
  <c r="W45" i="1"/>
  <c r="X44" i="1"/>
  <c r="Y44" i="1" s="1"/>
  <c r="W44" i="1"/>
  <c r="X43" i="1"/>
  <c r="Y43" i="1" s="1"/>
  <c r="W43" i="1"/>
  <c r="X42" i="1"/>
  <c r="Y42" i="1" s="1"/>
  <c r="W42" i="1"/>
  <c r="X41" i="1"/>
  <c r="Y41" i="1" s="1"/>
  <c r="W41" i="1"/>
  <c r="Z40" i="1"/>
  <c r="AA40" i="1" s="1"/>
  <c r="Y37" i="1"/>
  <c r="Z37" i="1" s="1"/>
  <c r="AA37" i="1" s="1"/>
  <c r="Z36" i="1"/>
  <c r="AA36" i="1" s="1"/>
  <c r="Y33" i="1"/>
  <c r="Z33" i="1" s="1"/>
  <c r="AA33" i="1" s="1"/>
  <c r="Z32" i="1"/>
  <c r="AA32" i="1" s="1"/>
  <c r="Y29" i="1"/>
  <c r="Z29" i="1" s="1"/>
  <c r="AA29" i="1" s="1"/>
  <c r="Z28" i="1"/>
  <c r="AA28" i="1" s="1"/>
  <c r="X39" i="1"/>
  <c r="Y39" i="1" s="1"/>
  <c r="Z39" i="1" s="1"/>
  <c r="AA39" i="1" s="1"/>
  <c r="X35" i="1"/>
  <c r="Y35" i="1" s="1"/>
  <c r="Z35" i="1" s="1"/>
  <c r="AA35" i="1" s="1"/>
  <c r="X31" i="1"/>
  <c r="Y31" i="1" s="1"/>
  <c r="Z31" i="1" s="1"/>
  <c r="AA31" i="1" s="1"/>
  <c r="X30" i="1"/>
  <c r="Y30" i="1" s="1"/>
  <c r="Z30" i="1" s="1"/>
  <c r="AA30" i="1" s="1"/>
  <c r="X38" i="1"/>
  <c r="Y38" i="1" s="1"/>
  <c r="Z38" i="1" s="1"/>
  <c r="AA38" i="1" s="1"/>
  <c r="X34" i="1"/>
  <c r="Y34" i="1" s="1"/>
  <c r="Z34" i="1" s="1"/>
  <c r="AA34" i="1" s="1"/>
  <c r="Z41" i="1" l="1"/>
  <c r="AA41" i="1" s="1"/>
  <c r="Z42" i="1"/>
  <c r="AA42" i="1" s="1"/>
  <c r="Z43" i="1"/>
  <c r="AA43" i="1" s="1"/>
  <c r="Z44" i="1"/>
  <c r="AA44" i="1" s="1"/>
  <c r="Z45" i="1"/>
  <c r="AA45" i="1" s="1"/>
  <c r="Z46" i="1"/>
  <c r="AA46" i="1" s="1"/>
  <c r="Z47" i="1"/>
  <c r="AA47" i="1" s="1"/>
  <c r="Z48" i="1"/>
  <c r="AA48" i="1" s="1"/>
  <c r="Z49" i="1"/>
  <c r="AA49" i="1" s="1"/>
  <c r="Z50" i="1"/>
  <c r="AA50" i="1" s="1"/>
  <c r="Z51" i="1"/>
  <c r="AA51" i="1" s="1"/>
  <c r="Z52" i="1"/>
  <c r="AA52" i="1" s="1"/>
  <c r="Z53" i="1"/>
  <c r="AA53" i="1" s="1"/>
  <c r="Z54" i="1"/>
  <c r="AA54" i="1" s="1"/>
  <c r="Z55" i="1"/>
  <c r="AA55" i="1" s="1"/>
  <c r="Z56" i="1"/>
  <c r="AA56" i="1" s="1"/>
  <c r="Z57" i="1"/>
  <c r="AA57" i="1" s="1"/>
  <c r="Z58" i="1"/>
  <c r="AA58" i="1" s="1"/>
  <c r="Z59" i="1"/>
  <c r="AA59" i="1" s="1"/>
  <c r="Z60" i="1"/>
  <c r="AA60" i="1" s="1"/>
  <c r="Z61" i="1"/>
  <c r="AA61" i="1" s="1"/>
  <c r="Z62" i="1"/>
  <c r="AA62" i="1" s="1"/>
  <c r="Z63" i="1"/>
  <c r="AA63" i="1" s="1"/>
  <c r="Z64" i="1"/>
  <c r="AA64" i="1" s="1"/>
  <c r="Z65" i="1"/>
  <c r="AA65" i="1" s="1"/>
  <c r="Z66" i="1"/>
  <c r="AA66" i="1" s="1"/>
  <c r="Z67" i="1"/>
  <c r="AA67" i="1" s="1"/>
  <c r="Z68" i="1"/>
  <c r="AA68" i="1" s="1"/>
  <c r="Z69" i="1"/>
  <c r="AA69" i="1" s="1"/>
  <c r="Z70" i="1"/>
  <c r="AA70" i="1" s="1"/>
  <c r="Z71" i="1"/>
  <c r="AA71" i="1" s="1"/>
  <c r="Z72" i="1"/>
  <c r="AA72" i="1" s="1"/>
  <c r="Z73" i="1"/>
  <c r="AA73" i="1" s="1"/>
  <c r="Z74" i="1"/>
  <c r="AA74" i="1" s="1"/>
  <c r="Z75" i="1"/>
  <c r="AA75" i="1" s="1"/>
  <c r="Z76" i="1"/>
  <c r="AA76" i="1" s="1"/>
  <c r="Z77" i="1"/>
  <c r="AA77" i="1" s="1"/>
  <c r="Z78" i="1"/>
  <c r="AA78" i="1" s="1"/>
  <c r="Z79" i="1"/>
  <c r="AA79" i="1" s="1"/>
  <c r="Z80" i="1"/>
  <c r="AA80" i="1" s="1"/>
  <c r="Z81" i="1"/>
  <c r="AA81" i="1" s="1"/>
  <c r="Z82" i="1"/>
  <c r="AA82" i="1" s="1"/>
  <c r="Z83" i="1"/>
  <c r="AA83" i="1" s="1"/>
  <c r="Z84" i="1"/>
  <c r="AA84" i="1" s="1"/>
  <c r="Z85" i="1"/>
  <c r="AA85" i="1" s="1"/>
  <c r="Z86" i="1"/>
  <c r="AA86" i="1" s="1"/>
  <c r="Z87" i="1"/>
  <c r="AA87" i="1" s="1"/>
  <c r="Z88" i="1"/>
  <c r="AA88" i="1" s="1"/>
  <c r="Z89" i="1"/>
  <c r="AA89" i="1" s="1"/>
  <c r="Z90" i="1"/>
  <c r="AA90" i="1" s="1"/>
  <c r="Z91" i="1"/>
  <c r="AA91" i="1" s="1"/>
  <c r="Z92" i="1"/>
  <c r="AA92" i="1" s="1"/>
  <c r="Z93" i="1"/>
  <c r="AA93" i="1" s="1"/>
  <c r="Z94" i="1"/>
  <c r="AA94" i="1" s="1"/>
  <c r="Z95" i="1"/>
  <c r="AA95" i="1" s="1"/>
  <c r="Z96" i="1"/>
  <c r="AA96" i="1" s="1"/>
  <c r="Z97" i="1"/>
  <c r="AA97" i="1" s="1"/>
  <c r="Z98" i="1"/>
  <c r="AA98" i="1" s="1"/>
  <c r="Z99" i="1"/>
  <c r="AA99" i="1" s="1"/>
  <c r="Z100" i="1"/>
  <c r="AA100" i="1" s="1"/>
  <c r="Z101" i="1"/>
  <c r="AA101" i="1" s="1"/>
  <c r="Z102" i="1"/>
  <c r="AA102" i="1" s="1"/>
  <c r="Z103" i="1"/>
  <c r="AA103" i="1" s="1"/>
  <c r="Z104" i="1"/>
  <c r="AA104" i="1" s="1"/>
  <c r="Z105" i="1"/>
  <c r="AA105" i="1" s="1"/>
  <c r="Z106" i="1"/>
  <c r="AA106" i="1" s="1"/>
  <c r="Z107" i="1"/>
  <c r="AA107" i="1" s="1"/>
  <c r="Z108" i="1"/>
  <c r="AA108" i="1" s="1"/>
  <c r="Z109" i="1"/>
  <c r="AA109" i="1" s="1"/>
  <c r="Z110" i="1"/>
  <c r="AA110" i="1" s="1"/>
  <c r="Z111" i="1"/>
  <c r="AA111" i="1" s="1"/>
  <c r="Z112" i="1"/>
  <c r="AA112" i="1" s="1"/>
  <c r="Z113" i="1"/>
  <c r="AA113" i="1" s="1"/>
  <c r="Z114" i="1"/>
  <c r="AA114" i="1" s="1"/>
  <c r="Z115" i="1"/>
  <c r="AA115" i="1" s="1"/>
  <c r="Z116" i="1"/>
  <c r="AA116" i="1" s="1"/>
  <c r="Z117" i="1"/>
  <c r="AA117" i="1" s="1"/>
  <c r="Z118" i="1"/>
  <c r="AA118" i="1" s="1"/>
  <c r="Z119" i="1"/>
  <c r="AA119" i="1" s="1"/>
  <c r="Z120" i="1"/>
  <c r="AA120" i="1" s="1"/>
  <c r="Z121" i="1"/>
  <c r="AA121" i="1" s="1"/>
  <c r="Z122" i="1"/>
  <c r="AA122" i="1" s="1"/>
  <c r="Z123" i="1"/>
  <c r="AA123" i="1" s="1"/>
  <c r="Z124" i="1"/>
  <c r="AA124" i="1" s="1"/>
  <c r="Z125" i="1"/>
  <c r="AA125" i="1" s="1"/>
  <c r="Z126" i="1"/>
  <c r="AA126" i="1" s="1"/>
  <c r="Z127" i="1"/>
  <c r="AA127" i="1" s="1"/>
  <c r="Z128" i="1"/>
  <c r="AA128" i="1" s="1"/>
  <c r="Z129" i="1"/>
  <c r="AA129" i="1" s="1"/>
  <c r="Z130" i="1"/>
  <c r="AA130" i="1" s="1"/>
  <c r="Z131" i="1"/>
  <c r="AA131" i="1" s="1"/>
  <c r="Z132" i="1"/>
  <c r="AA132" i="1" s="1"/>
  <c r="Z133" i="1"/>
  <c r="AA133" i="1" s="1"/>
  <c r="Z134" i="1"/>
  <c r="AA134" i="1" s="1"/>
  <c r="Z135" i="1"/>
  <c r="AA135" i="1" s="1"/>
  <c r="Z136" i="1"/>
  <c r="AA136" i="1" s="1"/>
  <c r="Z137" i="1"/>
  <c r="AA137" i="1" s="1"/>
  <c r="Z138" i="1"/>
  <c r="AA138" i="1" s="1"/>
  <c r="Z139" i="1"/>
  <c r="AA139" i="1" s="1"/>
  <c r="Z140" i="1"/>
  <c r="AA140" i="1" s="1"/>
  <c r="Z141" i="1"/>
  <c r="AA141" i="1" s="1"/>
  <c r="Z142" i="1"/>
  <c r="AA142" i="1" s="1"/>
  <c r="Z143" i="1"/>
  <c r="AA143" i="1" s="1"/>
  <c r="Z144" i="1"/>
  <c r="AA144" i="1" s="1"/>
  <c r="Z145" i="1"/>
  <c r="AA145" i="1" s="1"/>
  <c r="Z146" i="1"/>
  <c r="AA146" i="1" s="1"/>
  <c r="Z147" i="1"/>
  <c r="AA147" i="1" s="1"/>
  <c r="Z148" i="1"/>
  <c r="AA148" i="1" s="1"/>
  <c r="Z149" i="1"/>
  <c r="AA149" i="1" s="1"/>
  <c r="Z150" i="1"/>
  <c r="AA150" i="1" s="1"/>
  <c r="Z151" i="1"/>
  <c r="AA151" i="1" s="1"/>
  <c r="Z152" i="1"/>
  <c r="AA152" i="1" s="1"/>
  <c r="Z153" i="1"/>
  <c r="AA153" i="1" s="1"/>
  <c r="Z154" i="1"/>
  <c r="AA154" i="1" s="1"/>
  <c r="Z155" i="1"/>
  <c r="AA155" i="1" s="1"/>
  <c r="Z156" i="1"/>
  <c r="AA156" i="1" s="1"/>
  <c r="Z157" i="1"/>
  <c r="AA157" i="1" s="1"/>
  <c r="Z158" i="1"/>
  <c r="AA158" i="1" s="1"/>
  <c r="Z159" i="1"/>
  <c r="AA159" i="1" s="1"/>
  <c r="Z160" i="1"/>
  <c r="AA160" i="1" s="1"/>
  <c r="Z161" i="1"/>
  <c r="AA161" i="1" s="1"/>
  <c r="Z162" i="1"/>
  <c r="AA162" i="1" s="1"/>
  <c r="Z163" i="1"/>
  <c r="AA163" i="1" s="1"/>
  <c r="Z164" i="1"/>
  <c r="AA164" i="1" s="1"/>
  <c r="Z165" i="1"/>
  <c r="AA165" i="1" s="1"/>
  <c r="Z166" i="1"/>
  <c r="AA166" i="1" s="1"/>
  <c r="Z167" i="1"/>
  <c r="AA167" i="1" s="1"/>
  <c r="Z168" i="1"/>
  <c r="AA168" i="1" s="1"/>
  <c r="Z169" i="1"/>
  <c r="AA169" i="1" s="1"/>
  <c r="Z170" i="1"/>
  <c r="AA170" i="1" s="1"/>
  <c r="Z171" i="1"/>
  <c r="AA171" i="1" s="1"/>
  <c r="Z172" i="1"/>
  <c r="AA172" i="1" s="1"/>
  <c r="Z173" i="1"/>
  <c r="AA173" i="1" s="1"/>
  <c r="Z174" i="1"/>
  <c r="AA174" i="1" s="1"/>
  <c r="Z175" i="1"/>
  <c r="AA175" i="1" s="1"/>
  <c r="Z176" i="1"/>
  <c r="AA176" i="1" s="1"/>
  <c r="Z177" i="1"/>
  <c r="AA177" i="1" s="1"/>
  <c r="Z178" i="1"/>
  <c r="AA178" i="1" s="1"/>
  <c r="Z179" i="1"/>
  <c r="AA179" i="1" s="1"/>
  <c r="Z180" i="1"/>
  <c r="AA180" i="1" s="1"/>
  <c r="Z181" i="1"/>
  <c r="AA181" i="1" s="1"/>
  <c r="Z182" i="1"/>
  <c r="AA182" i="1" s="1"/>
  <c r="Z183" i="1"/>
  <c r="AA183" i="1" s="1"/>
  <c r="Z184" i="1"/>
  <c r="AA184" i="1" s="1"/>
  <c r="Z185" i="1"/>
  <c r="AA185" i="1" s="1"/>
  <c r="Z186" i="1"/>
  <c r="AA186" i="1" s="1"/>
  <c r="Z187" i="1"/>
  <c r="AA187" i="1" s="1"/>
  <c r="Z188" i="1"/>
  <c r="AA188" i="1" s="1"/>
  <c r="Z189" i="1"/>
  <c r="AA189" i="1" s="1"/>
  <c r="Z190" i="1"/>
  <c r="AA190" i="1" s="1"/>
  <c r="Z191" i="1"/>
  <c r="AA191" i="1" s="1"/>
  <c r="Z192" i="1"/>
  <c r="AA192" i="1" s="1"/>
  <c r="Z193" i="1"/>
  <c r="AA193" i="1" s="1"/>
  <c r="Z194" i="1"/>
  <c r="AA194" i="1" s="1"/>
  <c r="Z195" i="1"/>
  <c r="AA195" i="1" s="1"/>
  <c r="Z196" i="1"/>
  <c r="AA196" i="1" s="1"/>
  <c r="Z197" i="1"/>
  <c r="AA197" i="1" s="1"/>
  <c r="Z198" i="1"/>
  <c r="AA198" i="1" s="1"/>
  <c r="Z199" i="1"/>
  <c r="AA199" i="1" s="1"/>
  <c r="Z200" i="1"/>
  <c r="AA200" i="1" s="1"/>
  <c r="Z201" i="1"/>
  <c r="AA201" i="1" s="1"/>
  <c r="Z202" i="1"/>
  <c r="AA202" i="1" s="1"/>
  <c r="Z203" i="1"/>
  <c r="AA203" i="1" s="1"/>
  <c r="Z204" i="1"/>
  <c r="AA204" i="1" s="1"/>
  <c r="Z205" i="1"/>
  <c r="AA205" i="1" s="1"/>
  <c r="Z206" i="1"/>
  <c r="AA206" i="1" s="1"/>
  <c r="Z207" i="1"/>
  <c r="AA207" i="1" s="1"/>
  <c r="Z208" i="1"/>
  <c r="AA208" i="1" s="1"/>
  <c r="Z209" i="1"/>
  <c r="AA209" i="1" s="1"/>
  <c r="Z210" i="1"/>
  <c r="AA210" i="1" s="1"/>
  <c r="Z211" i="1"/>
  <c r="AA211" i="1" s="1"/>
  <c r="Z212" i="1"/>
  <c r="AA212" i="1" s="1"/>
  <c r="Z213" i="1"/>
  <c r="AA213" i="1" s="1"/>
  <c r="Z214" i="1"/>
  <c r="AA214" i="1" s="1"/>
  <c r="Z215" i="1"/>
  <c r="AA215" i="1" s="1"/>
  <c r="Z216" i="1"/>
  <c r="AA216" i="1" s="1"/>
  <c r="Z217" i="1"/>
  <c r="AA217" i="1" s="1"/>
  <c r="Z218" i="1"/>
  <c r="AA218" i="1" s="1"/>
  <c r="Z219" i="1"/>
  <c r="AA219" i="1" s="1"/>
  <c r="Z220" i="1"/>
  <c r="AA220" i="1" s="1"/>
  <c r="Z221" i="1"/>
  <c r="AA221" i="1" s="1"/>
  <c r="Z222" i="1"/>
  <c r="AA222" i="1" s="1"/>
  <c r="Z223" i="1"/>
  <c r="AA223" i="1" s="1"/>
  <c r="Z224" i="1"/>
  <c r="AA224" i="1" s="1"/>
  <c r="Z225" i="1"/>
  <c r="AA225" i="1" s="1"/>
  <c r="Z226" i="1"/>
  <c r="AA226" i="1" s="1"/>
  <c r="Z227" i="1"/>
  <c r="AA227" i="1" s="1"/>
  <c r="Z228" i="1"/>
  <c r="AA228" i="1" s="1"/>
  <c r="Z229" i="1"/>
  <c r="AA229" i="1" s="1"/>
  <c r="Z230" i="1"/>
  <c r="AA230" i="1" s="1"/>
  <c r="Z231" i="1"/>
  <c r="AA231" i="1" s="1"/>
  <c r="Z232" i="1"/>
  <c r="AA232" i="1" s="1"/>
  <c r="Z233" i="1"/>
  <c r="AA233" i="1" s="1"/>
  <c r="Z234" i="1"/>
  <c r="AA234" i="1" s="1"/>
  <c r="Z235" i="1"/>
  <c r="AA235" i="1" s="1"/>
  <c r="Z236" i="1"/>
  <c r="AA236" i="1" s="1"/>
  <c r="Z237" i="1"/>
  <c r="AA237" i="1" s="1"/>
  <c r="Z238" i="1"/>
  <c r="AA238" i="1" s="1"/>
  <c r="Z239" i="1"/>
  <c r="AA239" i="1" s="1"/>
  <c r="Z240" i="1"/>
  <c r="AA240" i="1" s="1"/>
  <c r="Z241" i="1"/>
  <c r="AA241" i="1" s="1"/>
  <c r="Z242" i="1"/>
  <c r="AA242" i="1" s="1"/>
  <c r="Z243" i="1"/>
  <c r="AA243" i="1" s="1"/>
  <c r="Z244" i="1"/>
  <c r="AA244" i="1" s="1"/>
  <c r="Z245" i="1"/>
  <c r="AA245" i="1" s="1"/>
  <c r="Z246" i="1"/>
  <c r="AA246" i="1" s="1"/>
  <c r="Z247" i="1"/>
  <c r="AA247" i="1" s="1"/>
  <c r="Z248" i="1"/>
  <c r="AA248" i="1" s="1"/>
  <c r="Z249" i="1"/>
  <c r="AA249" i="1" s="1"/>
  <c r="Z250" i="1"/>
  <c r="AA250" i="1" s="1"/>
  <c r="Z251" i="1"/>
  <c r="AA251" i="1" s="1"/>
  <c r="Z252" i="1"/>
  <c r="AA252" i="1" s="1"/>
  <c r="Z253" i="1"/>
  <c r="AA253" i="1" s="1"/>
  <c r="Z254" i="1"/>
  <c r="AA254" i="1" s="1"/>
  <c r="Z255" i="1"/>
  <c r="AA255" i="1" s="1"/>
  <c r="Z256" i="1"/>
  <c r="AA256" i="1" s="1"/>
  <c r="Z257" i="1"/>
  <c r="AA257" i="1" s="1"/>
  <c r="Z258" i="1"/>
  <c r="AA258" i="1" s="1"/>
  <c r="Z259" i="1"/>
  <c r="AA259" i="1" s="1"/>
  <c r="Z260" i="1"/>
  <c r="AA260" i="1" s="1"/>
  <c r="Z261" i="1"/>
  <c r="AA261" i="1" s="1"/>
  <c r="Z262" i="1"/>
  <c r="AA262" i="1" s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AF3" i="1"/>
  <c r="AF4" i="1"/>
  <c r="AF5" i="1"/>
  <c r="AF6" i="1"/>
  <c r="AF7" i="1"/>
  <c r="AF8" i="1"/>
  <c r="AF9" i="1"/>
  <c r="AF10" i="1"/>
  <c r="AF2" i="1"/>
  <c r="R3" i="1"/>
  <c r="R4" i="1"/>
  <c r="R5" i="1"/>
  <c r="R6" i="1"/>
  <c r="R7" i="1"/>
  <c r="R8" i="1"/>
  <c r="R9" i="1"/>
  <c r="R10" i="1"/>
  <c r="R2" i="1"/>
  <c r="X27" i="1" l="1"/>
  <c r="Y27" i="1" s="1"/>
  <c r="W26" i="1"/>
  <c r="X25" i="1"/>
  <c r="X23" i="1"/>
  <c r="X21" i="1"/>
  <c r="X19" i="1"/>
  <c r="Y19" i="1" s="1"/>
  <c r="W18" i="1"/>
  <c r="X15" i="1"/>
  <c r="X13" i="1"/>
  <c r="Y13" i="1" s="1"/>
  <c r="X11" i="1"/>
  <c r="Y11" i="1" s="1"/>
  <c r="W22" i="1"/>
  <c r="X22" i="1"/>
  <c r="Y22" i="1" s="1"/>
  <c r="Z22" i="1" s="1"/>
  <c r="AA22" i="1" s="1"/>
  <c r="X17" i="1"/>
  <c r="W17" i="1"/>
  <c r="W14" i="1"/>
  <c r="X14" i="1"/>
  <c r="Y14" i="1" s="1"/>
  <c r="W25" i="1"/>
  <c r="Z14" i="1"/>
  <c r="AA14" i="1" s="1"/>
  <c r="X26" i="1"/>
  <c r="Y26" i="1" s="1"/>
  <c r="Z26" i="1" s="1"/>
  <c r="AA26" i="1" s="1"/>
  <c r="W21" i="1"/>
  <c r="X18" i="1"/>
  <c r="Y18" i="1" s="1"/>
  <c r="Z18" i="1" s="1"/>
  <c r="AA18" i="1" s="1"/>
  <c r="W13" i="1"/>
  <c r="Z13" i="1" s="1"/>
  <c r="AA13" i="1" s="1"/>
  <c r="W23" i="1"/>
  <c r="Y21" i="1"/>
  <c r="W15" i="1"/>
  <c r="X20" i="1"/>
  <c r="X12" i="1"/>
  <c r="W27" i="1"/>
  <c r="Z27" i="1" s="1"/>
  <c r="AA27" i="1" s="1"/>
  <c r="Y25" i="1"/>
  <c r="Z25" i="1" s="1"/>
  <c r="AA25" i="1" s="1"/>
  <c r="W19" i="1"/>
  <c r="Z19" i="1" s="1"/>
  <c r="AA19" i="1" s="1"/>
  <c r="Y17" i="1"/>
  <c r="Z17" i="1" s="1"/>
  <c r="AA17" i="1" s="1"/>
  <c r="W11" i="1"/>
  <c r="Z11" i="1" s="1"/>
  <c r="AA11" i="1" s="1"/>
  <c r="X24" i="1"/>
  <c r="Y24" i="1" s="1"/>
  <c r="X16" i="1"/>
  <c r="Y23" i="1"/>
  <c r="Y15" i="1"/>
  <c r="W24" i="1"/>
  <c r="W20" i="1"/>
  <c r="W16" i="1"/>
  <c r="W12" i="1"/>
  <c r="Y20" i="1"/>
  <c r="Z20" i="1" s="1"/>
  <c r="AA20" i="1" s="1"/>
  <c r="Y16" i="1"/>
  <c r="Z16" i="1" s="1"/>
  <c r="AA16" i="1" s="1"/>
  <c r="Y12" i="1"/>
  <c r="Z12" i="1" s="1"/>
  <c r="AA12" i="1" s="1"/>
  <c r="V3" i="1"/>
  <c r="V4" i="1"/>
  <c r="V5" i="1"/>
  <c r="V6" i="1"/>
  <c r="V7" i="1"/>
  <c r="V8" i="1"/>
  <c r="V9" i="1"/>
  <c r="V10" i="1"/>
  <c r="V2" i="1"/>
  <c r="S8" i="1"/>
  <c r="T8" i="1"/>
  <c r="S9" i="1"/>
  <c r="T9" i="1"/>
  <c r="S10" i="1"/>
  <c r="T10" i="1"/>
  <c r="T3" i="1"/>
  <c r="T4" i="1"/>
  <c r="T5" i="1"/>
  <c r="T6" i="1"/>
  <c r="T7" i="1"/>
  <c r="T2" i="1"/>
  <c r="S3" i="1"/>
  <c r="S4" i="1"/>
  <c r="S5" i="1"/>
  <c r="S6" i="1"/>
  <c r="S7" i="1"/>
  <c r="S2" i="1"/>
  <c r="Z24" i="1" l="1"/>
  <c r="AA24" i="1" s="1"/>
  <c r="Z21" i="1"/>
  <c r="AA21" i="1" s="1"/>
  <c r="Z15" i="1"/>
  <c r="AA15" i="1" s="1"/>
  <c r="Z23" i="1"/>
  <c r="AA23" i="1" s="1"/>
  <c r="X7" i="1"/>
  <c r="Y7" i="1" s="1"/>
  <c r="W10" i="1"/>
  <c r="X3" i="1"/>
  <c r="Y3" i="1" s="1"/>
  <c r="W9" i="1"/>
  <c r="W5" i="1"/>
  <c r="X10" i="1"/>
  <c r="Y10" i="1" s="1"/>
  <c r="X6" i="1"/>
  <c r="Y6" i="1" s="1"/>
  <c r="W4" i="1"/>
  <c r="W3" i="1"/>
  <c r="X9" i="1"/>
  <c r="Y9" i="1" s="1"/>
  <c r="W8" i="1"/>
  <c r="X8" i="1"/>
  <c r="Y8" i="1" s="1"/>
  <c r="X5" i="1"/>
  <c r="Y5" i="1" s="1"/>
  <c r="W7" i="1"/>
  <c r="W6" i="1"/>
  <c r="X4" i="1"/>
  <c r="Y4" i="1" s="1"/>
  <c r="X2" i="1"/>
  <c r="Y2" i="1" s="1"/>
  <c r="W2" i="1"/>
  <c r="Z10" i="1" l="1"/>
  <c r="AA10" i="1" s="1"/>
  <c r="Z5" i="1"/>
  <c r="AA5" i="1" s="1"/>
  <c r="Z4" i="1"/>
  <c r="AA4" i="1" s="1"/>
  <c r="Z2" i="1"/>
  <c r="AA2" i="1" s="1"/>
  <c r="Z9" i="1"/>
  <c r="AA9" i="1" s="1"/>
  <c r="Z8" i="1"/>
  <c r="AA8" i="1" s="1"/>
  <c r="Z3" i="1"/>
  <c r="AA3" i="1" s="1"/>
  <c r="Z6" i="1"/>
  <c r="AA6" i="1" s="1"/>
  <c r="Z7" i="1"/>
  <c r="AA7" i="1" s="1"/>
</calcChain>
</file>

<file path=xl/sharedStrings.xml><?xml version="1.0" encoding="utf-8"?>
<sst xmlns="http://schemas.openxmlformats.org/spreadsheetml/2006/main" count="1336" uniqueCount="601">
  <si>
    <t>Omschrijving</t>
  </si>
  <si>
    <t>jan</t>
  </si>
  <si>
    <t>feb</t>
  </si>
  <si>
    <t>apr</t>
  </si>
  <si>
    <t>mei</t>
  </si>
  <si>
    <t>jun</t>
  </si>
  <si>
    <t>jul</t>
  </si>
  <si>
    <t>aug</t>
  </si>
  <si>
    <t>sep</t>
  </si>
  <si>
    <t>okt</t>
  </si>
  <si>
    <t>nov</t>
  </si>
  <si>
    <t>dec</t>
  </si>
  <si>
    <t>St. dev.</t>
  </si>
  <si>
    <t xml:space="preserve">Levertijd in weken </t>
  </si>
  <si>
    <t>VV</t>
  </si>
  <si>
    <t>mrt</t>
  </si>
  <si>
    <t>EOQ</t>
  </si>
  <si>
    <t>Max aantal</t>
  </si>
  <si>
    <t xml:space="preserve">Levertijd in maanden </t>
  </si>
  <si>
    <t>Bestel- punt</t>
  </si>
  <si>
    <t>service factor</t>
  </si>
  <si>
    <t>gem. Verkopen</t>
  </si>
  <si>
    <t>Art nr.</t>
  </si>
  <si>
    <t xml:space="preserve">Kostprijs </t>
  </si>
  <si>
    <t xml:space="preserve">service- graad </t>
  </si>
  <si>
    <t>Totaal</t>
  </si>
  <si>
    <t>Huidig Bestel- punt</t>
  </si>
  <si>
    <t>Huidig max aantal</t>
  </si>
  <si>
    <t>Huidige voorraadwaarde</t>
  </si>
  <si>
    <t>Voorraadwaarde</t>
  </si>
  <si>
    <t>Vaste Lotgrootte</t>
  </si>
  <si>
    <t>TDG90080080</t>
  </si>
  <si>
    <t>TDG90080100</t>
  </si>
  <si>
    <t>TDG90080125</t>
  </si>
  <si>
    <t>TDG9010001000</t>
  </si>
  <si>
    <t>TDG901000355</t>
  </si>
  <si>
    <t>TDG901000400</t>
  </si>
  <si>
    <t>TDG901000450</t>
  </si>
  <si>
    <t>TDG901000500</t>
  </si>
  <si>
    <t>TDG901000560</t>
  </si>
  <si>
    <t>TDG901000600</t>
  </si>
  <si>
    <t>TDG901000630</t>
  </si>
  <si>
    <t>TDG901000710</t>
  </si>
  <si>
    <t>TDG90100080</t>
  </si>
  <si>
    <t>TDG901000800</t>
  </si>
  <si>
    <t>TDG901000900</t>
  </si>
  <si>
    <t>TDG90100100</t>
  </si>
  <si>
    <t>TDG9011201000</t>
  </si>
  <si>
    <t>TDG9011201120</t>
  </si>
  <si>
    <t>TDG901120400</t>
  </si>
  <si>
    <t>TDG901120450</t>
  </si>
  <si>
    <t>TDG901120500</t>
  </si>
  <si>
    <t>TDG901120560</t>
  </si>
  <si>
    <t>TDG901120600</t>
  </si>
  <si>
    <t>TDG901120630</t>
  </si>
  <si>
    <t>TDG901120710</t>
  </si>
  <si>
    <t>TDG901120800</t>
  </si>
  <si>
    <t>TDG901120900</t>
  </si>
  <si>
    <t>TDG9012501000</t>
  </si>
  <si>
    <t>TDG9012501120</t>
  </si>
  <si>
    <t>TDG9012501250</t>
  </si>
  <si>
    <t>TDG901250500</t>
  </si>
  <si>
    <t>TDG901250560</t>
  </si>
  <si>
    <t>TDG901250600</t>
  </si>
  <si>
    <t>TDG901250630</t>
  </si>
  <si>
    <t>TDG901250710</t>
  </si>
  <si>
    <t>TDG90125080</t>
  </si>
  <si>
    <t>TDG901250800</t>
  </si>
  <si>
    <t>TDG901250900</t>
  </si>
  <si>
    <t>TDG90125100</t>
  </si>
  <si>
    <t>TDG90125125</t>
  </si>
  <si>
    <t>TDG90140080</t>
  </si>
  <si>
    <t>TDG90140100</t>
  </si>
  <si>
    <t>TDG90140125</t>
  </si>
  <si>
    <t>TDG90140140</t>
  </si>
  <si>
    <t>TDG90150080</t>
  </si>
  <si>
    <t>TDG90150100</t>
  </si>
  <si>
    <t>TDG90150125</t>
  </si>
  <si>
    <t>TDG90150140</t>
  </si>
  <si>
    <t>TDG90150150</t>
  </si>
  <si>
    <t>TDG90160080</t>
  </si>
  <si>
    <t>TDG90160100</t>
  </si>
  <si>
    <t>TDG90160125</t>
  </si>
  <si>
    <t>TDG90160140</t>
  </si>
  <si>
    <t>TDG90160150</t>
  </si>
  <si>
    <t>TDG90160160</t>
  </si>
  <si>
    <t>TDG90180080</t>
  </si>
  <si>
    <t>TDG90180100</t>
  </si>
  <si>
    <t>TDG90180125</t>
  </si>
  <si>
    <t>TDG90180140</t>
  </si>
  <si>
    <t>TDG90180150</t>
  </si>
  <si>
    <t>TDG90180160</t>
  </si>
  <si>
    <t>TDG90180180</t>
  </si>
  <si>
    <t>TDG90200080</t>
  </si>
  <si>
    <t>TDG90200100</t>
  </si>
  <si>
    <t>TDG90200125</t>
  </si>
  <si>
    <t>TDG90200140</t>
  </si>
  <si>
    <t>TDG90200150</t>
  </si>
  <si>
    <t>TDG90200160</t>
  </si>
  <si>
    <t>TDG90200180</t>
  </si>
  <si>
    <t>TDG90200200</t>
  </si>
  <si>
    <t>TDG90224080</t>
  </si>
  <si>
    <t>TDG90224100</t>
  </si>
  <si>
    <t>TDG90224125</t>
  </si>
  <si>
    <t>TDG90224140</t>
  </si>
  <si>
    <t>TDG90224150</t>
  </si>
  <si>
    <t>TDG90224200</t>
  </si>
  <si>
    <t>TDG90225160</t>
  </si>
  <si>
    <t>TDG90225180</t>
  </si>
  <si>
    <t>TDG90225225</t>
  </si>
  <si>
    <t>TDG90250080</t>
  </si>
  <si>
    <t>TDG90250100</t>
  </si>
  <si>
    <t>TDG90250125</t>
  </si>
  <si>
    <t>TDG90250140</t>
  </si>
  <si>
    <t>TDG90250150</t>
  </si>
  <si>
    <t>TDG90250160</t>
  </si>
  <si>
    <t>TDG90250180</t>
  </si>
  <si>
    <t>TDG90250200</t>
  </si>
  <si>
    <t>TDG90250224</t>
  </si>
  <si>
    <t>TDG90250250</t>
  </si>
  <si>
    <t>TDG90280080</t>
  </si>
  <si>
    <t>TDG90280100</t>
  </si>
  <si>
    <t>TDG90280125</t>
  </si>
  <si>
    <t>TDG90280140</t>
  </si>
  <si>
    <t>TDG90280150</t>
  </si>
  <si>
    <t>TDG90280160</t>
  </si>
  <si>
    <t>TDG90280180</t>
  </si>
  <si>
    <t>TDG90280200</t>
  </si>
  <si>
    <t>TDG90280224</t>
  </si>
  <si>
    <t>TDG90280250</t>
  </si>
  <si>
    <t>TDG90280280</t>
  </si>
  <si>
    <t>TDG90300080</t>
  </si>
  <si>
    <t>TDG90300100</t>
  </si>
  <si>
    <t>TDG90300125</t>
  </si>
  <si>
    <t>TDG90300140</t>
  </si>
  <si>
    <t>TDG90300150</t>
  </si>
  <si>
    <t>TDG90300160</t>
  </si>
  <si>
    <t>TDG90300180</t>
  </si>
  <si>
    <t>TDG90300200</t>
  </si>
  <si>
    <t>TDG90300224</t>
  </si>
  <si>
    <t>TDG90300250</t>
  </si>
  <si>
    <t>TDG90300280</t>
  </si>
  <si>
    <t>TDG90300300</t>
  </si>
  <si>
    <t>TDG90315080</t>
  </si>
  <si>
    <t>TDG90315100</t>
  </si>
  <si>
    <t>TDG90315125</t>
  </si>
  <si>
    <t>TDG90315140</t>
  </si>
  <si>
    <t>TDG90315150</t>
  </si>
  <si>
    <t>TDG90315160</t>
  </si>
  <si>
    <t>TDG90315180</t>
  </si>
  <si>
    <t>TDG90315200</t>
  </si>
  <si>
    <t>TDG90315225</t>
  </si>
  <si>
    <t>TDG90315250</t>
  </si>
  <si>
    <t>TDG90315280</t>
  </si>
  <si>
    <t>TDG90315300</t>
  </si>
  <si>
    <t>TDG90315315</t>
  </si>
  <si>
    <t>TDG90355100</t>
  </si>
  <si>
    <t>TDG90355125</t>
  </si>
  <si>
    <t>TDG90355140</t>
  </si>
  <si>
    <t>TDG90355150</t>
  </si>
  <si>
    <t>TDG90355160</t>
  </si>
  <si>
    <t>TDG90355180</t>
  </si>
  <si>
    <t>TDG90355200</t>
  </si>
  <si>
    <t>TDG90355224</t>
  </si>
  <si>
    <t>TDG90355250</t>
  </si>
  <si>
    <t>TDG90355280</t>
  </si>
  <si>
    <t>TDG90355300</t>
  </si>
  <si>
    <t>TDG90355315</t>
  </si>
  <si>
    <t>TDG90355355</t>
  </si>
  <si>
    <t>TDG90400100</t>
  </si>
  <si>
    <t>TDG90400125</t>
  </si>
  <si>
    <t>TDG90400140</t>
  </si>
  <si>
    <t>TDG90400150</t>
  </si>
  <si>
    <t>TDG90400160</t>
  </si>
  <si>
    <t>TDG90400180</t>
  </si>
  <si>
    <t>TDG90400200</t>
  </si>
  <si>
    <t>TDG90400224</t>
  </si>
  <si>
    <t>TDG90400250</t>
  </si>
  <si>
    <t>TDG90400280</t>
  </si>
  <si>
    <t>TDG90400300</t>
  </si>
  <si>
    <t>TDG90400315</t>
  </si>
  <si>
    <t>TDG90400355</t>
  </si>
  <si>
    <t>TDG90400400</t>
  </si>
  <si>
    <t>TDG90450100</t>
  </si>
  <si>
    <t>TDG90450125</t>
  </si>
  <si>
    <t>TDG90450140</t>
  </si>
  <si>
    <t>TDG90450150</t>
  </si>
  <si>
    <t>TDG90450160</t>
  </si>
  <si>
    <t>TDG90450180</t>
  </si>
  <si>
    <t>TDG90450200</t>
  </si>
  <si>
    <t>TDG90450224</t>
  </si>
  <si>
    <t>TDG90450250</t>
  </si>
  <si>
    <t>TDG90450280</t>
  </si>
  <si>
    <t>TDG90450300</t>
  </si>
  <si>
    <t>TDG90450315</t>
  </si>
  <si>
    <t>TDG90450355</t>
  </si>
  <si>
    <t>TDG90450400</t>
  </si>
  <si>
    <t>TDG90450450</t>
  </si>
  <si>
    <t>TDG90500100</t>
  </si>
  <si>
    <t>TDG90500125</t>
  </si>
  <si>
    <t>TDG90500150</t>
  </si>
  <si>
    <t>TDG90500160</t>
  </si>
  <si>
    <t>TDG90500180</t>
  </si>
  <si>
    <t>TDG90500200</t>
  </si>
  <si>
    <t>TDG90500224</t>
  </si>
  <si>
    <t>TDG90500250</t>
  </si>
  <si>
    <t>TDG90500280</t>
  </si>
  <si>
    <t>TDG90500300</t>
  </si>
  <si>
    <t>TDG90500315</t>
  </si>
  <si>
    <t>TDG90500355</t>
  </si>
  <si>
    <t>TDG90500400</t>
  </si>
  <si>
    <t>TDG90500450</t>
  </si>
  <si>
    <t>TDG90500500</t>
  </si>
  <si>
    <t>TDG90560125</t>
  </si>
  <si>
    <t>TDG90560150</t>
  </si>
  <si>
    <t>TDG90560160</t>
  </si>
  <si>
    <t>TDG90560180</t>
  </si>
  <si>
    <t>TDG90560200</t>
  </si>
  <si>
    <t>TDG90560224</t>
  </si>
  <si>
    <t>TDG90560250</t>
  </si>
  <si>
    <t>TDG90560280</t>
  </si>
  <si>
    <t>TDG90560300</t>
  </si>
  <si>
    <t>TDG90560315</t>
  </si>
  <si>
    <t>TDG90560355</t>
  </si>
  <si>
    <t>TDG90560400</t>
  </si>
  <si>
    <t>TDG90560450</t>
  </si>
  <si>
    <t>TDG90560500</t>
  </si>
  <si>
    <t>TDG90560560</t>
  </si>
  <si>
    <t>TDG90600200</t>
  </si>
  <si>
    <t>TDG90600224</t>
  </si>
  <si>
    <t>TDG90600250</t>
  </si>
  <si>
    <t>TDG90600280</t>
  </si>
  <si>
    <t>TDG90600300</t>
  </si>
  <si>
    <t>TDG90600315</t>
  </si>
  <si>
    <t>TDG90600355</t>
  </si>
  <si>
    <t>TDG90600400</t>
  </si>
  <si>
    <t>TDG90600450</t>
  </si>
  <si>
    <t>TDG90600500</t>
  </si>
  <si>
    <t>TDG90600560</t>
  </si>
  <si>
    <t>TDG90600600</t>
  </si>
  <si>
    <t>TDG90630100</t>
  </si>
  <si>
    <t>TDG90630125</t>
  </si>
  <si>
    <t>TDG90630150</t>
  </si>
  <si>
    <t>TDG90630160</t>
  </si>
  <si>
    <t>TDG90630180</t>
  </si>
  <si>
    <t>TDG90630200</t>
  </si>
  <si>
    <t>TDG90630224</t>
  </si>
  <si>
    <t>TDG90630250</t>
  </si>
  <si>
    <t>TDG90630280</t>
  </si>
  <si>
    <t>TDG90630300</t>
  </si>
  <si>
    <t>TDG90630315</t>
  </si>
  <si>
    <t>TDG90630355</t>
  </si>
  <si>
    <t>TDG90630400</t>
  </si>
  <si>
    <t>TDG90630450</t>
  </si>
  <si>
    <t>TDG90630500</t>
  </si>
  <si>
    <t>TDG90630560</t>
  </si>
  <si>
    <t>TDG90630600</t>
  </si>
  <si>
    <t>TDG90630630</t>
  </si>
  <si>
    <t>TDG90710200</t>
  </si>
  <si>
    <t>TDG90710224</t>
  </si>
  <si>
    <t>TDG90710250</t>
  </si>
  <si>
    <t>TDG90710280</t>
  </si>
  <si>
    <t>TDG90710300</t>
  </si>
  <si>
    <t>TDG90710315</t>
  </si>
  <si>
    <t>TDG90710355</t>
  </si>
  <si>
    <t>TDG90710400</t>
  </si>
  <si>
    <t>TDG90710450</t>
  </si>
  <si>
    <t>TDG90710500</t>
  </si>
  <si>
    <t>TDG90710560</t>
  </si>
  <si>
    <t>TDG90710600</t>
  </si>
  <si>
    <t>TDG90710630</t>
  </si>
  <si>
    <t>TDG90710710</t>
  </si>
  <si>
    <t>TDG90800315</t>
  </si>
  <si>
    <t>TDG90800355</t>
  </si>
  <si>
    <t>TDG90800400</t>
  </si>
  <si>
    <t>TDG90800450</t>
  </si>
  <si>
    <t>TDG90800500</t>
  </si>
  <si>
    <t>TDG90800600</t>
  </si>
  <si>
    <t>TDG90800630</t>
  </si>
  <si>
    <t>TDG90800710</t>
  </si>
  <si>
    <t>TDG90800800</t>
  </si>
  <si>
    <t>TDG90900315</t>
  </si>
  <si>
    <t>TDG90900355</t>
  </si>
  <si>
    <t>TDG90900400</t>
  </si>
  <si>
    <t>TDG90900450</t>
  </si>
  <si>
    <t>TDG90900500</t>
  </si>
  <si>
    <t>TDG90900560</t>
  </si>
  <si>
    <t>TDG90900600</t>
  </si>
  <si>
    <t>TDG90900630</t>
  </si>
  <si>
    <t>TDG90900710</t>
  </si>
  <si>
    <t>TDG90900800</t>
  </si>
  <si>
    <t>TDG90900900</t>
  </si>
  <si>
    <t>TDG90 80 80 - T-STUK 90° MET RUBBER</t>
  </si>
  <si>
    <t>TDG90 80 100 -  T-STUK 90° MET RUBBER</t>
  </si>
  <si>
    <t>TDG90 80 125 -  T-STUK 90° MET RUBBER</t>
  </si>
  <si>
    <t>TDG90 1000 1000 -  T-STUK 90° MET RUBBER</t>
  </si>
  <si>
    <t>TDG90 1000 355 -  T-STUK 90° MET RUBBER</t>
  </si>
  <si>
    <t>TDG90 1000 400 -  T-STUK 90° MET RUBBER</t>
  </si>
  <si>
    <t>TDG90 1000 450 -  T-STUK 90° MET RUBBER</t>
  </si>
  <si>
    <t>TDG90 1000 500 -  T-STUK 90° MET RUBBER</t>
  </si>
  <si>
    <t>TDG90 1000 560 -  T-STUK 90° MET RUBBER</t>
  </si>
  <si>
    <t>TDG90 1000 600 -  T-STUK 90° MET RUBBER</t>
  </si>
  <si>
    <t>TDG90 1000 630 -  T-STUK 90° MET RUBBER</t>
  </si>
  <si>
    <t>TDG90 1000 710 -  T-STUK 90° MET RUBBER</t>
  </si>
  <si>
    <t>TDG90 100 080 - T-STUK 90° MET RUBBER</t>
  </si>
  <si>
    <t>TDG90 1000 800 -  T-STUK 90° MET RUBBER</t>
  </si>
  <si>
    <t>TDG90 1000 900 -  T-STUK 90° MET RUBBER</t>
  </si>
  <si>
    <t>TDG90 100 100 - T-STUK 90° MET RUBBER</t>
  </si>
  <si>
    <t>TDG90 1120 1000 -  T-STUK 90° MET RUBBER</t>
  </si>
  <si>
    <t>TDG90 1120 1120 -  T-STUK 90° MET RUBBER</t>
  </si>
  <si>
    <t>TDG90 1120 400 -  T-STUK 90° MET RUBBER</t>
  </si>
  <si>
    <t>TDG90 1120 450 -  T-STUK 90° MET RUBBER</t>
  </si>
  <si>
    <t>TDG90 1120 500 -  T-STUK 90° MET RUBBER</t>
  </si>
  <si>
    <t>TDG90 1120 560 -  T-STUK 90° MET RUBBER</t>
  </si>
  <si>
    <t>TDG90 1120 600 -  T-STUK 90° MET RUBBER</t>
  </si>
  <si>
    <t>TDG90 1120 630 -  T-STUK 90° MET RUBBER</t>
  </si>
  <si>
    <t>TDG90 1120 710 -  T-STUK 90° MET RUBBER</t>
  </si>
  <si>
    <t>TDG90 1120 800 -  T-STUK 90° MET RUBBER</t>
  </si>
  <si>
    <t>TDG90 1120 900 -  T-STUK 90° MET RUBBER</t>
  </si>
  <si>
    <t>TDG90 1250 1000 -  T-STUK 90° MET RUBBER</t>
  </si>
  <si>
    <t>TDG90 1250 1120 -  T-STUK 90° MET RUBBER</t>
  </si>
  <si>
    <t>TDG90 1250 1250 -  T-STUK 90° MET RUBBER</t>
  </si>
  <si>
    <t>TDG90 1250 500 -  T-STUK 90° MET RUBBER</t>
  </si>
  <si>
    <t>TDG90 1250 560 -  T-STUK 90° MET RUBBER</t>
  </si>
  <si>
    <t>TDG90 1250 600 -  T-STUK 90° MET RUBBER</t>
  </si>
  <si>
    <t>TDG90 1250 630 -  T-STUK 90° MET RUBBER</t>
  </si>
  <si>
    <t>TDG90 1250 710 -  T-STUK 90° MET RUBBER</t>
  </si>
  <si>
    <t>TDG90 125 080 - T-STUK 90° MET RUBBER</t>
  </si>
  <si>
    <t>TDG90 1250 800 -  T-STUK 90° MET RUBBER</t>
  </si>
  <si>
    <t>TDG90 1250 900 -  T-STUK 90° MET RUBBER</t>
  </si>
  <si>
    <t>TDG90 125 100 - T-STUK 90° MET RUBBER</t>
  </si>
  <si>
    <t>TDG90 125 125 - T-STUK 90° MET RUBBER</t>
  </si>
  <si>
    <t>TDG90 140 80 -  T-STUK 90° MET RUBBER</t>
  </si>
  <si>
    <t>TDG90 140 100 -  T-STUK 90° MET RUBBER</t>
  </si>
  <si>
    <t>TDG90 140 125 -  T-STUK 90° MET RUBBER</t>
  </si>
  <si>
    <t>TDG90 140 140 -  T-STUK 90° MET RUBBER</t>
  </si>
  <si>
    <t>TDG90 150 80 - T-STUK 90° MET RUBBER</t>
  </si>
  <si>
    <t>TDG90 150 100 - T-STUK 90° MET RUBBER</t>
  </si>
  <si>
    <t>TDG90 150 125 - T-STUK 90° MET RUBBER</t>
  </si>
  <si>
    <t>TDG90 150 140 -  T-STUK 90° MET RUBBER</t>
  </si>
  <si>
    <t>TDG90 150 150 - T-STUK 90° MET RUBBER</t>
  </si>
  <si>
    <t>TDG90 160 080 - T-STUK 90° MET RUBBER</t>
  </si>
  <si>
    <t>TDG90 160 100 - T-STUK 90° MET RUBBER</t>
  </si>
  <si>
    <t>TDG90 160 125 - T-STUK 90° MET RUBBER</t>
  </si>
  <si>
    <t>TDG90 160 140 -  T-STUK 90° MET RUBBER</t>
  </si>
  <si>
    <t>TDG90 160 150 - T-STUK 90° MET RUBBER</t>
  </si>
  <si>
    <t>TDG90 160 160 - T-STUK 90° MET RUBBER</t>
  </si>
  <si>
    <t>TDG90 180 080 - T-STUK 90° MET RUBBER</t>
  </si>
  <si>
    <t>TDG90 180 100 - T-STUK 90° MET RUBBER</t>
  </si>
  <si>
    <t>TDG90 180 125 - T-STUK 90° MET RUBBER</t>
  </si>
  <si>
    <t>TDG90 180 140 -  T-STUK 90° MET RUBBER</t>
  </si>
  <si>
    <t>TDG90 180 150 - T-STUK 90° MET RUBBER</t>
  </si>
  <si>
    <t>TDG90 180 160 - T-STUK 90° MET RUBBER</t>
  </si>
  <si>
    <t>TDG90 180 180 - T-STUK 90° MET RUBBER</t>
  </si>
  <si>
    <t>TDG90 200 080 - T-STUK 90° MET RUBBER</t>
  </si>
  <si>
    <t>TDG90 200 100 - T-STUK 90° MET RUBBER</t>
  </si>
  <si>
    <t>TDG90 200 125 - T-STUK 90° MET RUBBER</t>
  </si>
  <si>
    <t>TDG90 200 140 -  T-STUK 90° MET RUBBER</t>
  </si>
  <si>
    <t>TDG90 200 150 - T-STUK 90° MET RUBBER</t>
  </si>
  <si>
    <t>TDG90 200 160 - T-STUK 90° MET RUBBER</t>
  </si>
  <si>
    <t>TDG90 200 180 - T-STUK 90° MET RUBBER</t>
  </si>
  <si>
    <t>TDG90 200 200 - T-STUK 90° MET RUBBER</t>
  </si>
  <si>
    <t>TDG90 224 80 -  T-STUK 90° MET RUBBER</t>
  </si>
  <si>
    <t>TDG90 224 100 -  T-STUK 90° MET RUBBER</t>
  </si>
  <si>
    <t>TDG90 224 125 -  T-STUK 90° MET RUBBER</t>
  </si>
  <si>
    <t>TDG90 224 140 -  T-STUK 90° MET RUBBER</t>
  </si>
  <si>
    <t>TDG90 224 150 -  T-STUK 90° MET RUBBER</t>
  </si>
  <si>
    <t>TDG90 224 200 -  T-STUK 90° MET RUBBER</t>
  </si>
  <si>
    <t>TDG90 225 160 - T-STUK 90° MET RUBBER</t>
  </si>
  <si>
    <t>TDG90 225 180 - T-STUK 90° MET RUBBER</t>
  </si>
  <si>
    <t>TDG90 225 225 - T-STUK 90° MET RUBBER</t>
  </si>
  <si>
    <t>TDG90 250 080 - T-STUK 90° MET RUBBER</t>
  </si>
  <si>
    <t>TDG90 250 100 - T-STUK 90° MET RUBBER</t>
  </si>
  <si>
    <t>TDG90 250 125 - T-STUK 90° MET RUBBER</t>
  </si>
  <si>
    <t>TDG90 250 140 -  T-STUK 90° MET RUBBER</t>
  </si>
  <si>
    <t>TDG90 250 150 - T-STUK 90° MET RUBBER</t>
  </si>
  <si>
    <t>TDG90 250 160 - T-STUK 90° MET RUBBER</t>
  </si>
  <si>
    <t>TDG90 250 180 - T-STUK 90° MET RUBBER</t>
  </si>
  <si>
    <t>TDG90 250 200 - T-STUK 90° MET RUBBER</t>
  </si>
  <si>
    <t>TDG90 250 224 -  T-STUK 90° MET RUBBER</t>
  </si>
  <si>
    <t>TDG90 250 250 - T-STUK 90° MET RUBBER</t>
  </si>
  <si>
    <t>TDG90 280 80 -  T-STUK 90° MET RUBBER</t>
  </si>
  <si>
    <t>TDG90 280 100 -  T-STUK 90° MET RUBBER</t>
  </si>
  <si>
    <t>TDG90 280 125 -  T-STUK 90° MET RUBBER</t>
  </si>
  <si>
    <t>TDG90 280 140 -  T-STUK 90° MET RUBBER</t>
  </si>
  <si>
    <t>TDG90 280 150 -  T-STUK 90° MET RUBBER</t>
  </si>
  <si>
    <t>TDG90 280 160 -  T-STUK 90° MET RUBBER</t>
  </si>
  <si>
    <t>TDG90 280 180 -  T-STUK 90° MET RUBBER</t>
  </si>
  <si>
    <t>TDG90 280 200 -  T-STUK 90° MET RUBBER</t>
  </si>
  <si>
    <t>TDG90 280 224 -  T-STUK 90° MET RUBBER</t>
  </si>
  <si>
    <t>TDG90 280 250 -  T-STUK 90° MET RUBBER</t>
  </si>
  <si>
    <t>TDG90 280 280 - T-STUK 90° MET RUBBER</t>
  </si>
  <si>
    <t>TDG90 300 80 -  T-STUK 90° MET RUBBER</t>
  </si>
  <si>
    <t>TDG90 300 100 -  T-STUK 90° MET RUBBER</t>
  </si>
  <si>
    <t>TDG90 300 125 -  T-STUK 90° MET RUBBER</t>
  </si>
  <si>
    <t>TDG90 300 140 -  T-STUK 90° MET RUBBER</t>
  </si>
  <si>
    <t>TDG90 300 150 -  T-STUK 90° MET RUBBER</t>
  </si>
  <si>
    <t>TDG90 300 160 -  T-STUK 90° MET RUBBER</t>
  </si>
  <si>
    <t>TDG90 300 180 -  T-STUK 90° MET RUBBER</t>
  </si>
  <si>
    <t>TDG90 300 200 -  T-STUK 90° MET RUBBER</t>
  </si>
  <si>
    <t>TDG90 300 224 -  T-STUK 90° MET RUBBER</t>
  </si>
  <si>
    <t>TDG90 300 250 -  T-STUK 90° MET RUBBER</t>
  </si>
  <si>
    <t>TDG90 300 280 -  T-STUK 90° MET RUBBER</t>
  </si>
  <si>
    <t>TDG90 300 300 -  T-STUK 90° MET RUBBER</t>
  </si>
  <si>
    <t>TDG90 315 80 -  T-STUK 90° MET RUBBER</t>
  </si>
  <si>
    <t>TDG90 315 100 - T-STUK 90° MET RUBBER</t>
  </si>
  <si>
    <t>TDG90 315 125 - T-STUK 90° MET RUBBER</t>
  </si>
  <si>
    <t>TDG90 315 140 -  T-STUK 90° MET RUBBER</t>
  </si>
  <si>
    <t>TDG90 315 150 - T-STUK 90° MET RUBBER</t>
  </si>
  <si>
    <t>TDG90 315 160 - T-STUK 90° MET RUBBER</t>
  </si>
  <si>
    <t>TDG90 315 180 -  T-STUK 90° MET RUBBER</t>
  </si>
  <si>
    <t>TDG90 315 200 - T-STUK 90° MET RUBBER</t>
  </si>
  <si>
    <t>TDG90 315 225 - T-STUK 90° MET RUBBER</t>
  </si>
  <si>
    <t>TDG90 315 250 - T-STUK 90° MET RUBBER</t>
  </si>
  <si>
    <t>TDG90 315 280 -  T-STUK 90° MET RUBBER</t>
  </si>
  <si>
    <t>TDG90 315 300 -  T-STUK 90° MET RUBBER</t>
  </si>
  <si>
    <t>TDG90 315 315 - T-STUK 90° MET RUBBER</t>
  </si>
  <si>
    <t>TDG90 355 100 - T-STUK 90° MET RUBBER</t>
  </si>
  <si>
    <t>TDG90 355 125 - T-STUK 90° MET RUBBER</t>
  </si>
  <si>
    <t>TDG90 355 140 -  T-STUK 90° MET RUBBER</t>
  </si>
  <si>
    <t>TDG90 355 150 - T-STUK 90° MET RUBBER</t>
  </si>
  <si>
    <t>TDG90 355 160 - T-STUK 90° MET RUBBER</t>
  </si>
  <si>
    <t>TDG90 355 180 - T-STUK 90° MET RUBBER</t>
  </si>
  <si>
    <t>TDG90 355 200 - T-STUK 90° MET RUBBER</t>
  </si>
  <si>
    <t>TDG90 355 224 -  T-STUK 90° MET RUBBER</t>
  </si>
  <si>
    <t>TDG90 355 250 - T-STUK 90° MET RUBBER</t>
  </si>
  <si>
    <t>TDG90 355 280 -  T-STUK 90° MET RUBBER</t>
  </si>
  <si>
    <t>TDG90 355 300 -  T-STUK 90° MET RUBBER</t>
  </si>
  <si>
    <t>TDG90 355 315 - T-STUK 90° MET RUBBER</t>
  </si>
  <si>
    <t>TDG90 355 355 - T-STUK 90° MET RUBBER</t>
  </si>
  <si>
    <t>TDG90 400 100 - T-STUK 90° MET RUBBER</t>
  </si>
  <si>
    <t>TDG90 400 125 - T-STUK 90° MET RUBBER</t>
  </si>
  <si>
    <t>TDG90 400 140 -  T-STUK 90° MET RUBBER</t>
  </si>
  <si>
    <t>TDG90 400 150 - T-STUK 90° MET RUBBER</t>
  </si>
  <si>
    <t>TDG90 400 160 - T-STUK 90° MET RUBBER</t>
  </si>
  <si>
    <t>TDG90 400 180 - T-STUK 90° MET RUBBER</t>
  </si>
  <si>
    <t>TDG90 400 200 - T-STUK 90° MET RUBBER</t>
  </si>
  <si>
    <t>TDG90 400 224 -  T-STUK 90° MET RUBBER</t>
  </si>
  <si>
    <t>TDG90 400 250 - T-STUK 90° MET RUBBER</t>
  </si>
  <si>
    <t>TDG90 400 280 -  T-STUK 90° MET RUBBER</t>
  </si>
  <si>
    <t>TDG90 400 300 -  T-STUK 90° MET RUBBER</t>
  </si>
  <si>
    <t>TDG90 400 315 - T-STUK 90° MET RUBBER</t>
  </si>
  <si>
    <t>TDG90 400 355 - T-STUK 90° MET RUBBER</t>
  </si>
  <si>
    <t>TDG90 400 400 - T-STUK 90° MET RUBBER</t>
  </si>
  <si>
    <t>TDG90 450 100 - T-STUK 90° MET RUBBER</t>
  </si>
  <si>
    <t>TDG90 450 125 - T-STUK 90° MET RUBBER</t>
  </si>
  <si>
    <t>TDG90 450 140 -  T-STUK 90° MET RUBBER</t>
  </si>
  <si>
    <t>TDG90 450 150 - T-STUK 90° MET RUBBER</t>
  </si>
  <si>
    <t>TDG90 450 160 - T-STUK 90° MET RUBBER</t>
  </si>
  <si>
    <t>TDG90 450 180 - T-STUK 90° MET RUBBER</t>
  </si>
  <si>
    <t>TDG90 450 200 - T-STUK 90° MET RUBBER</t>
  </si>
  <si>
    <t>TDG90 450 224 -  T-STUK 90° MET RUBBER</t>
  </si>
  <si>
    <t>TDG90 450 250 - T-STUK 90° MET RUBBER</t>
  </si>
  <si>
    <t>TDG90 450 280 -  T-STUK 90° MET RUBBER</t>
  </si>
  <si>
    <t>TDG90 450 300 -  T-STUK 90° MET RUBBER</t>
  </si>
  <si>
    <t>TDG90 450 315 - T-STUK 90° MET RUBBER</t>
  </si>
  <si>
    <t>TDG90 450 355 - T-STUK 90° MET RUBBER</t>
  </si>
  <si>
    <t>TDG90 450 400 - T-STUK 90° MET RUBBER</t>
  </si>
  <si>
    <t>TDG90 450 450 - T-STUK 90° MET RUBBER</t>
  </si>
  <si>
    <t>TDG90 500 100 - T-STUK 90° MET RUBBER</t>
  </si>
  <si>
    <t>TDG90 500 125 - T-STUK 90° MET RUBBER</t>
  </si>
  <si>
    <t>TDG90 500 150 - T-STUK 90° MET RUBBER</t>
  </si>
  <si>
    <t>TDG90 500 160 - T-STUK 90° MET RUBBER</t>
  </si>
  <si>
    <t>TDG90 500 180 - T-STUK 90° MET RUBBER</t>
  </si>
  <si>
    <t>TDG90 500 200 - T-STUK 90° MET RUBBER</t>
  </si>
  <si>
    <t>TDG90 500 224 -  T-STUK 90° MET RUBBER</t>
  </si>
  <si>
    <t>TDG90 500 250 - T-STUK 90° MET RUBBER</t>
  </si>
  <si>
    <t>TDG90 500 280 -  T-STUK 90° MET RUBBER</t>
  </si>
  <si>
    <t>TDG90 500 300 -  T-STUK 90° MET RUBBER</t>
  </si>
  <si>
    <t>TDG90 500 315 - T-STUK 90° MET RUBBER</t>
  </si>
  <si>
    <t>TDG90 500 355 - T-STUK 90° MET RUBBER</t>
  </si>
  <si>
    <t>TDG90 500 400 - T-STUK 90° MET RUBBER</t>
  </si>
  <si>
    <t>TDG90 500 450 - T-STUK 90° MET RUBBER</t>
  </si>
  <si>
    <t>TDG90 500 500 - T-STUK 90° MET RUBBER</t>
  </si>
  <si>
    <t>TDG90 560 125 - T-STUK 90° MET RUBBER</t>
  </si>
  <si>
    <t>TDG90 560 150 - T-STUK 90° MET RUBBER</t>
  </si>
  <si>
    <t>TDG90 560 160 - T-STUK 90° MET RUBBER</t>
  </si>
  <si>
    <t>TDG90 560 180 - T-STUK 90° MET RUBBER</t>
  </si>
  <si>
    <t>TDG90 560 200 - T-STUK 90° MET RUBBER</t>
  </si>
  <si>
    <t>TDG90 560 224 -  T-STUK 90° MET RUBBER</t>
  </si>
  <si>
    <t>TDG90 560 250 - T-STUK 90° MET RUBBER</t>
  </si>
  <si>
    <t>TDG90 560 280 -  T-STUK 90° MET RUBBER</t>
  </si>
  <si>
    <t>TDG90 560 300 -  T-STUK 90° MET RUBBER</t>
  </si>
  <si>
    <t>TDG90 560 315 - T-STUK 90° MET RUBBER</t>
  </si>
  <si>
    <t>TDG90 560 355 - T-STUK 90° MET RUBBER</t>
  </si>
  <si>
    <t>TDG90 560 400 - T-STUK 90° MET RUBBER</t>
  </si>
  <si>
    <t>TDG90 560 450 - T-STUK 90° MET RUBBER</t>
  </si>
  <si>
    <t>TDG90 560 500 - T-STUK 90° MET RUBBER</t>
  </si>
  <si>
    <t>TDG90 560 560 - T-STUK 90° MET RUBBER</t>
  </si>
  <si>
    <t>TDG90 600 200 -  T-STUK 90° MET RUBBER</t>
  </si>
  <si>
    <t>TDG90 600 224 -  T-STUK 90° MET RUBBER</t>
  </si>
  <si>
    <t>TDG90 600 250 -  T-STUK 90° MET RUBBER</t>
  </si>
  <si>
    <t>TDG90 600 280 -  T-STUK 90° MET RUBBER</t>
  </si>
  <si>
    <t>TDG90 600 300 -  T-STUK 90° MET RUBBER</t>
  </si>
  <si>
    <t>TDG90 600 315 -  T-STUK 90° MET RUBBER</t>
  </si>
  <si>
    <t>TDG90 600 355 -  T-STUK 90° MET RUBBER</t>
  </si>
  <si>
    <t>TDG90 600 400 -  T-STUK 90° MET RUBBER</t>
  </si>
  <si>
    <t>TDG90 600 450 -  T-STUK 90° MET RUBBER</t>
  </si>
  <si>
    <t>TDG90 600 500 -  T-STUK 90° MET RUBBER</t>
  </si>
  <si>
    <t>TDG90 600 560 -  T-STUK 90° MET RUBBER</t>
  </si>
  <si>
    <t>TDG90 600 600 -  T-STUK 90° MET RUBBER</t>
  </si>
  <si>
    <t>TDG90 630 100 - T-STUK 90° MET RUBBER</t>
  </si>
  <si>
    <t>TDG90 630 125 - T-STUK 90° MET RUBBER</t>
  </si>
  <si>
    <t>TDG90 630 150 - T-STUK 90° MET RUBBER</t>
  </si>
  <si>
    <t>TDG90 630 160 - T-STUK 90° MET RUBBER</t>
  </si>
  <si>
    <t>TDG90 630 180 - T-STUK 90° MET RUBBER</t>
  </si>
  <si>
    <t>TDG90 630 200 - T-STUK 90° MET RUBBER</t>
  </si>
  <si>
    <t>TDG90 630 224 -  T-STUK 90° MET RUBBER</t>
  </si>
  <si>
    <t>TDG90 630 250 - T-STUK 90° MET RUBBER</t>
  </si>
  <si>
    <t>TDG90 630 280 -  T-STUK 90° MET RUBBER</t>
  </si>
  <si>
    <t>TDG90 630 300 -  T-STUK 90° MET RUBBER</t>
  </si>
  <si>
    <t>TDG90 630 315 - T-STUK 90° MET RUBBER</t>
  </si>
  <si>
    <t>TDG90 630 355 - T-STUK 90° MET RUBBER</t>
  </si>
  <si>
    <t>TDG90 630 400 - T-STUK 90° MET RUBBER</t>
  </si>
  <si>
    <t>TDG90 630 450 - T-STUK 90° MET RUBBER</t>
  </si>
  <si>
    <t>TDG90 630 500 - T-STUK 90° MET RUBBER</t>
  </si>
  <si>
    <t>TDG90 630 560 - T-STUK 90° MET RUBBER</t>
  </si>
  <si>
    <t>TDG90 630 600 -  T-STUK 90° MET RUBBER</t>
  </si>
  <si>
    <t>TDG90 630 630 - T-STUK 90° MET RUBBER</t>
  </si>
  <si>
    <t>TDG90 710 200 -  T-STUK 90° MET RUBBER</t>
  </si>
  <si>
    <t>TDG90 710 224 -  T-STUK 90° MET RUBBER</t>
  </si>
  <si>
    <t>TDG90 710 250 -  T-STUK 90° MET RUBBER</t>
  </si>
  <si>
    <t>TDG90 710 280 -  T-STUK 90° MET RUBBER</t>
  </si>
  <si>
    <t>TDG90 710 300 -  T-STUK 90° MET RUBBER</t>
  </si>
  <si>
    <t>TDG90 710 315 -  T-STUK 90° MET RUBBER</t>
  </si>
  <si>
    <t>TDG90 710 355 -  T-STUK 90° MET RUBBER</t>
  </si>
  <si>
    <t>TDG90 710 400 -  T-STUK 90° MET RUBBER</t>
  </si>
  <si>
    <t>TDG90 710 450 -  T-STUK 90° MET RUBBER</t>
  </si>
  <si>
    <t>TDG90 710 500 -  T-STUK 90° MET RUBBER</t>
  </si>
  <si>
    <t>TDG90 710 560 - T-STUK 90° MET RUBBER</t>
  </si>
  <si>
    <t>TDG90 710 600 -  T-STUK 90° MET RUBBER</t>
  </si>
  <si>
    <t>TDG90 710 630 -  T-STUK 90° MET RUBBER</t>
  </si>
  <si>
    <t>TDG90 710 710 - T-STUK 90° MET RUBBER</t>
  </si>
  <si>
    <t>TDG90 800 315 -  T-STUK 90° MET RUBBER</t>
  </si>
  <si>
    <t>TDG90 800 355 -  T-STUK 90° MET RUBBER</t>
  </si>
  <si>
    <t>TDG90 800 400 -  T-STUK 90° MET RUBBER</t>
  </si>
  <si>
    <t>TDG90 800 450 -  T-STUK 90° MET RUBBER</t>
  </si>
  <si>
    <t>TDG90 800 500 -  T-STUK 90° MET RUBBER</t>
  </si>
  <si>
    <t>TDG90 800 600 -  T-STUK 90° MET RUBBER</t>
  </si>
  <si>
    <t>TDG90 800 630 -  T-STUK 90° MET RUBBER</t>
  </si>
  <si>
    <t>TDG90 800 710 -  T-STUK 90° MET RUBBER</t>
  </si>
  <si>
    <t>TDG90 800 800 - T-STUK 90° MET RUBBER</t>
  </si>
  <si>
    <t>TDG90 900 315 -  T-STUK 90° MET RUBBER</t>
  </si>
  <si>
    <t>TDG90 900 355 -  T-STUK 90° MET RUBBER</t>
  </si>
  <si>
    <t>TDG90 900 400 -  T-STUK 90° MET RUBBER</t>
  </si>
  <si>
    <t>TDG90 900 450 -  T-STUK 90° MET RUBBER</t>
  </si>
  <si>
    <t>TDG90 900 500 -  T-STUK 90° MET RUBBER</t>
  </si>
  <si>
    <t>TDG90 900 560 -  T-STUK 90° MET RUBBER</t>
  </si>
  <si>
    <t>TDG90 900 600 -  T-STUK 90° MET RUBBER</t>
  </si>
  <si>
    <t>TDG90 900 630 -  T-STUK 90° MET RUBBER</t>
  </si>
  <si>
    <t>TDG90 900 710 -  T-STUK 90° MET RUBBER</t>
  </si>
  <si>
    <t>TDG90 900 800 -  T-STUK 90° MET RUBBER</t>
  </si>
  <si>
    <t>TDG90 900 900 - T-STUK 90° MET RUBBER</t>
  </si>
  <si>
    <t>8</t>
  </si>
  <si>
    <t>0</t>
  </si>
  <si>
    <t>3</t>
  </si>
  <si>
    <t>66</t>
  </si>
  <si>
    <t>6</t>
  </si>
  <si>
    <t>30</t>
  </si>
  <si>
    <t>260</t>
  </si>
  <si>
    <t>5</t>
  </si>
  <si>
    <t>2</t>
  </si>
  <si>
    <t>20</t>
  </si>
  <si>
    <t>50</t>
  </si>
  <si>
    <t>11</t>
  </si>
  <si>
    <t>15</t>
  </si>
  <si>
    <t>51</t>
  </si>
  <si>
    <t>13</t>
  </si>
  <si>
    <t>4</t>
  </si>
  <si>
    <t>40</t>
  </si>
  <si>
    <t>16</t>
  </si>
  <si>
    <t>10</t>
  </si>
  <si>
    <t>19</t>
  </si>
  <si>
    <t>22</t>
  </si>
  <si>
    <t>26</t>
  </si>
  <si>
    <t>7</t>
  </si>
  <si>
    <t>103</t>
  </si>
  <si>
    <t>12</t>
  </si>
  <si>
    <t>360</t>
  </si>
  <si>
    <t>9</t>
  </si>
  <si>
    <t>33</t>
  </si>
  <si>
    <t>70</t>
  </si>
  <si>
    <t>60</t>
  </si>
  <si>
    <t>23</t>
  </si>
  <si>
    <t>74</t>
  </si>
  <si>
    <t>80</t>
  </si>
  <si>
    <t>25</t>
  </si>
  <si>
    <t>27</t>
  </si>
  <si>
    <t>31</t>
  </si>
  <si>
    <t>38</t>
  </si>
  <si>
    <t>17</t>
  </si>
  <si>
    <t>1</t>
  </si>
  <si>
    <t>54</t>
  </si>
  <si>
    <t>84</t>
  </si>
  <si>
    <t>52</t>
  </si>
  <si>
    <t>24</t>
  </si>
  <si>
    <t>32</t>
  </si>
  <si>
    <t>42</t>
  </si>
  <si>
    <t>29</t>
  </si>
  <si>
    <t>14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</si>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</sst>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Font="1"/>
    <xf numFmtId="44" fontId="0" fillId="0" borderId="0" xfId="43" applyFont="1"/>
    <xf numFmtId="0" fontId="0" fillId="0" borderId="0" xfId="0" applyFont="1" applyAlignment="1">
      <alignment horizontal="center"/>
    </xf>
    <xf numFmtId="1" fontId="0" fillId="33" borderId="0" xfId="0" applyNumberFormat="1" applyFont="1" applyFill="1"/>
    <xf numFmtId="2" fontId="18" fillId="33" borderId="0" xfId="0" applyNumberFormat="1" applyFont="1" applyFill="1"/>
    <xf numFmtId="164" fontId="0" fillId="33" borderId="0" xfId="0" applyNumberFormat="1" applyFont="1" applyFill="1"/>
    <xf numFmtId="164" fontId="0" fillId="33" borderId="0" xfId="0" applyNumberFormat="1" applyFont="1" applyFill="1" applyAlignment="1">
      <alignment horizontal="center"/>
    </xf>
    <xf numFmtId="1" fontId="0" fillId="34" borderId="0" xfId="0" applyNumberFormat="1" applyFont="1" applyFill="1" applyAlignment="1">
      <alignment horizontal="center"/>
    </xf>
    <xf numFmtId="44" fontId="0" fillId="33" borderId="0" xfId="0" applyNumberFormat="1" applyFont="1" applyFill="1"/>
    <xf numFmtId="9" fontId="0" fillId="35" borderId="0" xfId="0" applyNumberFormat="1" applyFont="1" applyFill="1"/>
    <xf numFmtId="0" fontId="16" fillId="0" borderId="10" xfId="0" applyFont="1" applyBorder="1" applyAlignment="1">
      <alignment wrapText="1"/>
    </xf>
    <xf numFmtId="44" fontId="16" fillId="0" borderId="10" xfId="43" applyFont="1" applyBorder="1" applyAlignment="1">
      <alignment wrapText="1"/>
    </xf>
    <xf numFmtId="0" fontId="16" fillId="35" borderId="10" xfId="0" applyFont="1" applyFill="1" applyBorder="1" applyAlignment="1">
      <alignment wrapText="1"/>
    </xf>
    <xf numFmtId="0" fontId="16" fillId="33" borderId="10" xfId="0" applyFont="1" applyFill="1" applyBorder="1" applyAlignment="1">
      <alignment wrapText="1"/>
    </xf>
    <xf numFmtId="0" fontId="16" fillId="34" borderId="10" xfId="0" applyFont="1" applyFill="1" applyBorder="1" applyAlignment="1">
      <alignment wrapText="1"/>
    </xf>
    <xf numFmtId="0" fontId="16" fillId="0" borderId="0" xfId="0" applyFont="1" applyAlignment="1">
      <alignment wrapText="1"/>
    </xf>
    <xf numFmtId="0" fontId="21" fillId="33" borderId="10" xfId="6" applyFont="1" applyFill="1" applyBorder="1" applyAlignment="1">
      <alignment horizontal="center" wrapText="1"/>
    </xf>
    <xf numFmtId="0" fontId="20" fillId="33" borderId="0" xfId="6" applyFont="1" applyFill="1" applyAlignment="1">
      <alignment horizontal="center"/>
    </xf>
    <xf numFmtId="1" fontId="20" fillId="33" borderId="0" xfId="6" applyNumberFormat="1" applyFont="1" applyFill="1" applyAlignment="1">
      <alignment horizontal="center"/>
    </xf>
    <xf numFmtId="0" fontId="20" fillId="0" borderId="0" xfId="0" applyFont="1"/>
    <xf numFmtId="49" fontId="1" fillId="36" borderId="11" xfId="0" applyNumberFormat="1" applyFont="1" applyFill="1" applyBorder="1"/>
    <xf numFmtId="49" fontId="1" fillId="0" borderId="11" xfId="0" applyNumberFormat="1" applyFont="1" applyBorder="1"/>
    <xf numFmtId="49" fontId="1" fillId="36" borderId="12" xfId="0" applyNumberFormat="1" applyFont="1" applyFill="1" applyBorder="1"/>
    <xf numFmtId="49" fontId="1" fillId="0" borderId="12" xfId="0" applyNumberFormat="1" applyFont="1" applyBorder="1"/>
    <xf numFmtId="1" fontId="0" fillId="37" borderId="0" xfId="0" applyNumberFormat="1" applyFont="1" applyFill="1" applyAlignment="1">
      <alignment horizontal="center"/>
    </xf>
    <xf numFmtId="0" fontId="0" fillId="0" borderId="0" xfId="0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Standaard 2" xfId="42" xr:uid="{00000000-0005-0000-0000-000025000000}"/>
    <cellStyle name="Titel" xfId="1" builtinId="15" customBuiltin="1"/>
    <cellStyle name="Totaal" xfId="17" builtinId="25" customBuiltin="1"/>
    <cellStyle name="Uitvoer" xfId="10" builtinId="21" customBuiltin="1"/>
    <cellStyle name="Valuta" xfId="43" builtinId="4"/>
    <cellStyle name="Verklarende tekst" xfId="16" builtinId="53" customBuiltin="1"/>
    <cellStyle name="Waarschuwingstekst" xfId="14" builtinId="11" customBuiltin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2"/>
  <sheetViews>
    <sheetView tabSelected="1" workbookViewId="0">
      <selection activeCell="F17" sqref="F17"/>
    </sheetView>
  </sheetViews>
  <sheetFormatPr defaultRowHeight="15" x14ac:dyDescent="0.25"/>
  <cols>
    <col min="1" max="1" width="14.7109375" style="1" bestFit="1" customWidth="1"/>
    <col min="2" max="2" width="39.140625" style="1" bestFit="1" customWidth="1"/>
    <col min="3" max="3" width="11.42578125" style="2" bestFit="1" customWidth="1"/>
    <col min="4" max="4" width="10.28515625" style="1" bestFit="1" customWidth="1"/>
    <col min="5" max="5" width="6" style="1" bestFit="1" customWidth="1"/>
    <col min="6" max="6" width="6.28515625" style="1" bestFit="1" customWidth="1"/>
    <col min="7" max="7" width="6.42578125" style="1" bestFit="1" customWidth="1"/>
    <col min="8" max="8" width="6.140625" style="1" bestFit="1" customWidth="1"/>
    <col min="9" max="9" width="6.7109375" style="1" bestFit="1" customWidth="1"/>
    <col min="10" max="10" width="6.140625" style="1" bestFit="1" customWidth="1"/>
    <col min="11" max="11" width="5.5703125" style="1" bestFit="1" customWidth="1"/>
    <col min="12" max="13" width="6.42578125" style="1" bestFit="1" customWidth="1"/>
    <col min="14" max="14" width="6.140625" style="1" bestFit="1" customWidth="1"/>
    <col min="15" max="15" width="6.5703125" style="1" bestFit="1" customWidth="1"/>
    <col min="16" max="16" width="6.42578125" style="1" bestFit="1" customWidth="1"/>
    <col min="17" max="17" width="8.7109375" style="1" bestFit="1" customWidth="1"/>
    <col min="18" max="18" width="12" style="1" bestFit="1" customWidth="1"/>
    <col min="19" max="19" width="9.5703125" style="1" bestFit="1" customWidth="1"/>
    <col min="20" max="20" width="16.7109375" style="1" bestFit="1" customWidth="1"/>
    <col min="21" max="22" width="13.28515625" style="1" bestFit="1" customWidth="1"/>
    <col min="23" max="24" width="16.7109375" style="20" bestFit="1" customWidth="1"/>
    <col min="25" max="25" width="14.140625" style="1" bestFit="1" customWidth="1"/>
    <col min="26" max="26" width="13" style="1" bestFit="1" customWidth="1"/>
    <col min="27" max="27" width="18.140625" style="1" bestFit="1" customWidth="1"/>
    <col min="28" max="28" width="3.85546875" style="1" customWidth="1"/>
    <col min="29" max="29" width="9.5703125" style="1" bestFit="1" customWidth="1"/>
    <col min="30" max="30" width="9" style="1" bestFit="1" customWidth="1"/>
    <col min="31" max="31" width="12.5703125" style="1" bestFit="1" customWidth="1"/>
    <col min="32" max="32" width="17.85546875" style="1" bestFit="1" customWidth="1"/>
    <col min="33" max="16384" width="9.140625" style="1"/>
  </cols>
  <sheetData>
    <row r="1" spans="1:32" s="16" customFormat="1" ht="45.75" thickBot="1" x14ac:dyDescent="0.3">
      <c r="A1" s="11" t="s">
        <v>22</v>
      </c>
      <c r="B1" s="11" t="s">
        <v>0</v>
      </c>
      <c r="C1" s="12" t="s">
        <v>23</v>
      </c>
      <c r="D1" s="13" t="s">
        <v>24</v>
      </c>
      <c r="E1" s="11" t="s">
        <v>1</v>
      </c>
      <c r="F1" s="11" t="s">
        <v>2</v>
      </c>
      <c r="G1" s="11" t="s">
        <v>15</v>
      </c>
      <c r="H1" s="11" t="s">
        <v>3</v>
      </c>
      <c r="I1" s="11" t="s">
        <v>4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9</v>
      </c>
      <c r="O1" s="11" t="s">
        <v>10</v>
      </c>
      <c r="P1" s="11" t="s">
        <v>11</v>
      </c>
      <c r="Q1" s="11" t="s">
        <v>25</v>
      </c>
      <c r="R1" s="14" t="s">
        <v>21</v>
      </c>
      <c r="S1" s="14" t="s">
        <v>20</v>
      </c>
      <c r="T1" s="14" t="s">
        <v>12</v>
      </c>
      <c r="U1" s="11" t="s">
        <v>13</v>
      </c>
      <c r="V1" s="14" t="s">
        <v>18</v>
      </c>
      <c r="W1" s="17" t="s">
        <v>16</v>
      </c>
      <c r="X1" s="17" t="s">
        <v>14</v>
      </c>
      <c r="Y1" s="15" t="s">
        <v>19</v>
      </c>
      <c r="Z1" s="15" t="s">
        <v>17</v>
      </c>
      <c r="AA1" s="14" t="s">
        <v>29</v>
      </c>
      <c r="AC1" s="11" t="s">
        <v>26</v>
      </c>
      <c r="AD1" s="11" t="s">
        <v>27</v>
      </c>
      <c r="AE1" s="11" t="s">
        <v>30</v>
      </c>
      <c r="AF1" s="14" t="s">
        <v>28</v>
      </c>
    </row>
    <row r="2" spans="1:32" x14ac:dyDescent="0.25">
      <c r="A2" s="21" t="s">
        <v>31</v>
      </c>
      <c r="B2" s="23" t="s">
        <v>292</v>
      </c>
      <c r="D2" s="10">
        <v>0.95</v>
      </c>
      <c r="E2" s="1">
        <v>4</v>
      </c>
      <c r="F2" s="1">
        <v>0</v>
      </c>
      <c r="G2" s="1">
        <v>0</v>
      </c>
      <c r="H2" s="1">
        <v>1</v>
      </c>
      <c r="I2" s="1">
        <v>10</v>
      </c>
      <c r="J2" s="1">
        <v>11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26">
        <v>26</v>
      </c>
      <c r="R2" s="4">
        <f>Q2/12</f>
        <v>2.1666666666666665</v>
      </c>
      <c r="S2" s="5">
        <f t="shared" ref="S2:S7" si="0">NORMSINV(D2)</f>
        <v>1.6448536269514715</v>
      </c>
      <c r="T2" s="6">
        <f t="shared" ref="T2:T7" si="1">STDEV(E2:P2)</f>
        <v>4.0638837969547694</v>
      </c>
      <c r="U2" s="3">
        <v>1</v>
      </c>
      <c r="V2" s="7">
        <f>U2/52*12</f>
        <v>0.23076923076923078</v>
      </c>
      <c r="W2" s="18">
        <f>CEILING(S2*T2*(SQRT(V2)),1)</f>
        <v>4</v>
      </c>
      <c r="X2" s="19">
        <f>S2*SQRT(T2*V2*R2)</f>
        <v>2.3446763321464412</v>
      </c>
      <c r="Y2" s="25">
        <f>ROUND(V2*R2+X2,0)</f>
        <v>3</v>
      </c>
      <c r="Z2" s="25">
        <f>ROUND(Y2+W2,0)</f>
        <v>7</v>
      </c>
      <c r="AA2" s="9">
        <f>C2*Z2</f>
        <v>0</v>
      </c>
      <c r="AC2" s="3" t="s">
        <v>553</v>
      </c>
      <c r="AD2" s="3" t="s">
        <v>565</v>
      </c>
      <c r="AE2" s="3" t="s">
        <v>591</v>
      </c>
      <c r="AF2" s="9">
        <f>AD2*C2</f>
        <v>0</v>
      </c>
    </row>
    <row r="3" spans="1:32" x14ac:dyDescent="0.25">
      <c r="A3" s="22" t="s">
        <v>32</v>
      </c>
      <c r="B3" s="24" t="s">
        <v>293</v>
      </c>
      <c r="D3" s="10">
        <v>0.95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26">
        <v>0</v>
      </c>
      <c r="R3" s="4">
        <f t="shared" ref="R3:R66" si="2">Q3/12</f>
        <v>0</v>
      </c>
      <c r="S3" s="5">
        <f t="shared" si="0"/>
        <v>1.6448536269514715</v>
      </c>
      <c r="T3" s="6">
        <f t="shared" si="1"/>
        <v>0</v>
      </c>
      <c r="U3" s="3">
        <v>1</v>
      </c>
      <c r="V3" s="7">
        <f t="shared" ref="V3:V66" si="3">U3/52*12</f>
        <v>0.23076923076923078</v>
      </c>
      <c r="W3" s="18">
        <f t="shared" ref="W3:W10" si="4">CEILING(S3*T3*(SQRT(V3)),1)</f>
        <v>0</v>
      </c>
      <c r="X3" s="19">
        <f t="shared" ref="X3:X10" si="5">S3*SQRT(T3*V3*R3)</f>
        <v>0</v>
      </c>
      <c r="Y3" s="8">
        <f t="shared" ref="Y3:Y10" si="6">ROUND(V3*R3+X3,0)</f>
        <v>0</v>
      </c>
      <c r="Z3" s="8">
        <f t="shared" ref="Z3:Z10" si="7">ROUND(Y3+W3,0)</f>
        <v>0</v>
      </c>
      <c r="AA3" s="9">
        <f t="shared" ref="AA3:AA10" si="8">C3*Z3</f>
        <v>0</v>
      </c>
      <c r="AC3" s="3" t="s">
        <v>554</v>
      </c>
      <c r="AD3" s="3" t="s">
        <v>554</v>
      </c>
      <c r="AE3" s="3" t="s">
        <v>591</v>
      </c>
      <c r="AF3" s="9">
        <f t="shared" ref="AF3:AF27" si="9">AD3*C3</f>
        <v>0</v>
      </c>
    </row>
    <row r="4" spans="1:32" x14ac:dyDescent="0.25">
      <c r="A4" s="21" t="s">
        <v>33</v>
      </c>
      <c r="B4" s="23" t="s">
        <v>294</v>
      </c>
      <c r="D4" s="10">
        <v>0.95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26">
        <v>0</v>
      </c>
      <c r="R4" s="4">
        <f t="shared" si="2"/>
        <v>0</v>
      </c>
      <c r="S4" s="5">
        <f t="shared" si="0"/>
        <v>1.6448536269514715</v>
      </c>
      <c r="T4" s="6">
        <f t="shared" si="1"/>
        <v>0</v>
      </c>
      <c r="U4" s="3">
        <v>1</v>
      </c>
      <c r="V4" s="7">
        <f t="shared" si="3"/>
        <v>0.23076923076923078</v>
      </c>
      <c r="W4" s="18">
        <f t="shared" si="4"/>
        <v>0</v>
      </c>
      <c r="X4" s="19">
        <f t="shared" si="5"/>
        <v>0</v>
      </c>
      <c r="Y4" s="8">
        <f t="shared" si="6"/>
        <v>0</v>
      </c>
      <c r="Z4" s="8">
        <f t="shared" si="7"/>
        <v>0</v>
      </c>
      <c r="AA4" s="9">
        <f t="shared" si="8"/>
        <v>0</v>
      </c>
      <c r="AC4" s="3" t="s">
        <v>554</v>
      </c>
      <c r="AD4" s="3" t="s">
        <v>554</v>
      </c>
      <c r="AE4" s="3" t="s">
        <v>591</v>
      </c>
      <c r="AF4" s="9">
        <f t="shared" si="9"/>
        <v>0</v>
      </c>
    </row>
    <row r="5" spans="1:32" x14ac:dyDescent="0.25">
      <c r="A5" s="22" t="s">
        <v>34</v>
      </c>
      <c r="B5" s="24" t="s">
        <v>295</v>
      </c>
      <c r="D5" s="10">
        <v>0.95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26">
        <v>0</v>
      </c>
      <c r="R5" s="4">
        <f t="shared" si="2"/>
        <v>0</v>
      </c>
      <c r="S5" s="5">
        <f t="shared" si="0"/>
        <v>1.6448536269514715</v>
      </c>
      <c r="T5" s="6">
        <f t="shared" si="1"/>
        <v>0</v>
      </c>
      <c r="U5" s="3">
        <v>1</v>
      </c>
      <c r="V5" s="7">
        <f t="shared" si="3"/>
        <v>0.23076923076923078</v>
      </c>
      <c r="W5" s="18">
        <f t="shared" si="4"/>
        <v>0</v>
      </c>
      <c r="X5" s="19">
        <f t="shared" si="5"/>
        <v>0</v>
      </c>
      <c r="Y5" s="8">
        <f t="shared" si="6"/>
        <v>0</v>
      </c>
      <c r="Z5" s="8">
        <f t="shared" si="7"/>
        <v>0</v>
      </c>
      <c r="AA5" s="9">
        <f t="shared" si="8"/>
        <v>0</v>
      </c>
      <c r="AC5" s="3" t="s">
        <v>554</v>
      </c>
      <c r="AD5" s="3" t="s">
        <v>554</v>
      </c>
      <c r="AE5" s="3" t="s">
        <v>591</v>
      </c>
      <c r="AF5" s="9">
        <f t="shared" si="9"/>
        <v>0</v>
      </c>
    </row>
    <row r="6" spans="1:32" x14ac:dyDescent="0.25">
      <c r="A6" s="21" t="s">
        <v>35</v>
      </c>
      <c r="B6" s="23" t="s">
        <v>296</v>
      </c>
      <c r="D6" s="10">
        <v>0.95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26">
        <v>0</v>
      </c>
      <c r="R6" s="4">
        <f t="shared" si="2"/>
        <v>0</v>
      </c>
      <c r="S6" s="5">
        <f t="shared" si="0"/>
        <v>1.6448536269514715</v>
      </c>
      <c r="T6" s="6">
        <f t="shared" si="1"/>
        <v>0</v>
      </c>
      <c r="U6" s="3">
        <v>1</v>
      </c>
      <c r="V6" s="7">
        <f t="shared" si="3"/>
        <v>0.23076923076923078</v>
      </c>
      <c r="W6" s="18">
        <f t="shared" si="4"/>
        <v>0</v>
      </c>
      <c r="X6" s="19">
        <f t="shared" si="5"/>
        <v>0</v>
      </c>
      <c r="Y6" s="8">
        <f t="shared" si="6"/>
        <v>0</v>
      </c>
      <c r="Z6" s="8">
        <f t="shared" si="7"/>
        <v>0</v>
      </c>
      <c r="AA6" s="9">
        <f t="shared" si="8"/>
        <v>0</v>
      </c>
      <c r="AC6" s="3" t="s">
        <v>554</v>
      </c>
      <c r="AD6" s="3" t="s">
        <v>554</v>
      </c>
      <c r="AE6" s="3" t="s">
        <v>591</v>
      </c>
      <c r="AF6" s="9">
        <f t="shared" si="9"/>
        <v>0</v>
      </c>
    </row>
    <row r="7" spans="1:32" x14ac:dyDescent="0.25">
      <c r="A7" s="22" t="s">
        <v>36</v>
      </c>
      <c r="B7" s="24" t="s">
        <v>297</v>
      </c>
      <c r="D7" s="10">
        <v>0.95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26">
        <v>0</v>
      </c>
      <c r="R7" s="4">
        <f t="shared" si="2"/>
        <v>0</v>
      </c>
      <c r="S7" s="5">
        <f t="shared" si="0"/>
        <v>1.6448536269514715</v>
      </c>
      <c r="T7" s="6">
        <f t="shared" si="1"/>
        <v>0</v>
      </c>
      <c r="U7" s="3">
        <v>1</v>
      </c>
      <c r="V7" s="7">
        <f t="shared" si="3"/>
        <v>0.23076923076923078</v>
      </c>
      <c r="W7" s="18">
        <f t="shared" si="4"/>
        <v>0</v>
      </c>
      <c r="X7" s="19">
        <f t="shared" si="5"/>
        <v>0</v>
      </c>
      <c r="Y7" s="8">
        <f t="shared" si="6"/>
        <v>0</v>
      </c>
      <c r="Z7" s="8">
        <f t="shared" si="7"/>
        <v>0</v>
      </c>
      <c r="AA7" s="9">
        <f t="shared" si="8"/>
        <v>0</v>
      </c>
      <c r="AC7" s="3" t="s">
        <v>554</v>
      </c>
      <c r="AD7" s="3" t="s">
        <v>554</v>
      </c>
      <c r="AE7" s="3" t="s">
        <v>591</v>
      </c>
      <c r="AF7" s="9">
        <f t="shared" si="9"/>
        <v>0</v>
      </c>
    </row>
    <row r="8" spans="1:32" x14ac:dyDescent="0.25">
      <c r="A8" s="21" t="s">
        <v>37</v>
      </c>
      <c r="B8" s="23" t="s">
        <v>298</v>
      </c>
      <c r="D8" s="10">
        <v>0.95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26">
        <v>0</v>
      </c>
      <c r="R8" s="4">
        <f t="shared" si="2"/>
        <v>0</v>
      </c>
      <c r="S8" s="5">
        <f t="shared" ref="S8:S10" si="10">NORMSINV(D8)</f>
        <v>1.6448536269514715</v>
      </c>
      <c r="T8" s="6">
        <f t="shared" ref="T8:T10" si="11">STDEV(E8:P8)</f>
        <v>0</v>
      </c>
      <c r="U8" s="3">
        <v>1</v>
      </c>
      <c r="V8" s="7">
        <f t="shared" si="3"/>
        <v>0.23076923076923078</v>
      </c>
      <c r="W8" s="18">
        <f t="shared" si="4"/>
        <v>0</v>
      </c>
      <c r="X8" s="19">
        <f t="shared" si="5"/>
        <v>0</v>
      </c>
      <c r="Y8" s="8">
        <f t="shared" si="6"/>
        <v>0</v>
      </c>
      <c r="Z8" s="8">
        <f t="shared" si="7"/>
        <v>0</v>
      </c>
      <c r="AA8" s="9">
        <f t="shared" si="8"/>
        <v>0</v>
      </c>
      <c r="AC8" s="3" t="s">
        <v>554</v>
      </c>
      <c r="AD8" s="3" t="s">
        <v>554</v>
      </c>
      <c r="AE8" s="3" t="s">
        <v>591</v>
      </c>
      <c r="AF8" s="9">
        <f t="shared" si="9"/>
        <v>0</v>
      </c>
    </row>
    <row r="9" spans="1:32" x14ac:dyDescent="0.25">
      <c r="A9" s="22" t="s">
        <v>38</v>
      </c>
      <c r="B9" s="24" t="s">
        <v>299</v>
      </c>
      <c r="D9" s="10">
        <v>0.95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26">
        <v>0</v>
      </c>
      <c r="R9" s="4">
        <f t="shared" si="2"/>
        <v>0</v>
      </c>
      <c r="S9" s="5">
        <f t="shared" si="10"/>
        <v>1.6448536269514715</v>
      </c>
      <c r="T9" s="6">
        <f t="shared" si="11"/>
        <v>0</v>
      </c>
      <c r="U9" s="3">
        <v>1</v>
      </c>
      <c r="V9" s="7">
        <f t="shared" si="3"/>
        <v>0.23076923076923078</v>
      </c>
      <c r="W9" s="18">
        <f t="shared" si="4"/>
        <v>0</v>
      </c>
      <c r="X9" s="19">
        <f t="shared" si="5"/>
        <v>0</v>
      </c>
      <c r="Y9" s="8">
        <f t="shared" si="6"/>
        <v>0</v>
      </c>
      <c r="Z9" s="8">
        <f t="shared" si="7"/>
        <v>0</v>
      </c>
      <c r="AA9" s="9">
        <f t="shared" si="8"/>
        <v>0</v>
      </c>
      <c r="AC9" s="3" t="s">
        <v>554</v>
      </c>
      <c r="AD9" s="3" t="s">
        <v>554</v>
      </c>
      <c r="AE9" s="3" t="s">
        <v>591</v>
      </c>
      <c r="AF9" s="9">
        <f t="shared" si="9"/>
        <v>0</v>
      </c>
    </row>
    <row r="10" spans="1:32" x14ac:dyDescent="0.25">
      <c r="A10" s="21" t="s">
        <v>39</v>
      </c>
      <c r="B10" s="23" t="s">
        <v>300</v>
      </c>
      <c r="D10" s="10">
        <v>0.95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26">
        <v>0</v>
      </c>
      <c r="R10" s="4">
        <f t="shared" si="2"/>
        <v>0</v>
      </c>
      <c r="S10" s="5">
        <f t="shared" si="10"/>
        <v>1.6448536269514715</v>
      </c>
      <c r="T10" s="6">
        <f t="shared" si="11"/>
        <v>0</v>
      </c>
      <c r="U10" s="3">
        <v>1</v>
      </c>
      <c r="V10" s="7">
        <f t="shared" si="3"/>
        <v>0.23076923076923078</v>
      </c>
      <c r="W10" s="18">
        <f t="shared" si="4"/>
        <v>0</v>
      </c>
      <c r="X10" s="19">
        <f t="shared" si="5"/>
        <v>0</v>
      </c>
      <c r="Y10" s="8">
        <f t="shared" si="6"/>
        <v>0</v>
      </c>
      <c r="Z10" s="8">
        <f t="shared" si="7"/>
        <v>0</v>
      </c>
      <c r="AA10" s="9">
        <f t="shared" si="8"/>
        <v>0</v>
      </c>
      <c r="AC10" s="3" t="s">
        <v>554</v>
      </c>
      <c r="AD10" s="3" t="s">
        <v>554</v>
      </c>
      <c r="AE10" s="3" t="s">
        <v>591</v>
      </c>
      <c r="AF10" s="9">
        <f t="shared" si="9"/>
        <v>0</v>
      </c>
    </row>
    <row r="11" spans="1:32" x14ac:dyDescent="0.25">
      <c r="A11" s="22" t="s">
        <v>40</v>
      </c>
      <c r="B11" s="24" t="s">
        <v>301</v>
      </c>
      <c r="D11" s="10">
        <v>0.95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26">
        <v>0</v>
      </c>
      <c r="R11" s="4">
        <f t="shared" si="2"/>
        <v>0</v>
      </c>
      <c r="S11" s="5">
        <f t="shared" ref="S11:S27" si="12">NORMSINV(D11)</f>
        <v>1.6448536269514715</v>
      </c>
      <c r="T11" s="6">
        <f t="shared" ref="T11:T27" si="13">STDEV(E11:P11)</f>
        <v>0</v>
      </c>
      <c r="U11" s="3">
        <v>1</v>
      </c>
      <c r="V11" s="7">
        <f t="shared" si="3"/>
        <v>0.23076923076923078</v>
      </c>
      <c r="W11" s="18">
        <f t="shared" ref="W11:W27" si="14">CEILING(S11*T11*(SQRT(V11)),1)</f>
        <v>0</v>
      </c>
      <c r="X11" s="19">
        <f t="shared" ref="X11:X27" si="15">S11*SQRT(T11*V11*R11)</f>
        <v>0</v>
      </c>
      <c r="Y11" s="8">
        <f t="shared" ref="Y11:Y27" si="16">ROUND(V11*R11+X11,0)</f>
        <v>0</v>
      </c>
      <c r="Z11" s="8">
        <f t="shared" ref="Z11:Z27" si="17">ROUND(Y11+W11,0)</f>
        <v>0</v>
      </c>
      <c r="AA11" s="9">
        <f t="shared" ref="AA11:AA27" si="18">C11*Z11</f>
        <v>0</v>
      </c>
      <c r="AC11" s="3" t="s">
        <v>554</v>
      </c>
      <c r="AD11" s="3" t="s">
        <v>554</v>
      </c>
      <c r="AE11" s="3" t="s">
        <v>591</v>
      </c>
      <c r="AF11" s="9">
        <f t="shared" si="9"/>
        <v>0</v>
      </c>
    </row>
    <row r="12" spans="1:32" x14ac:dyDescent="0.25">
      <c r="A12" s="21" t="s">
        <v>41</v>
      </c>
      <c r="B12" s="23" t="s">
        <v>302</v>
      </c>
      <c r="D12" s="10">
        <v>0.95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26">
        <v>0</v>
      </c>
      <c r="R12" s="4">
        <f t="shared" si="2"/>
        <v>0</v>
      </c>
      <c r="S12" s="5">
        <f t="shared" si="12"/>
        <v>1.6448536269514715</v>
      </c>
      <c r="T12" s="6">
        <f t="shared" si="13"/>
        <v>0</v>
      </c>
      <c r="U12" s="3">
        <v>1</v>
      </c>
      <c r="V12" s="7">
        <f t="shared" si="3"/>
        <v>0.23076923076923078</v>
      </c>
      <c r="W12" s="18">
        <f t="shared" si="14"/>
        <v>0</v>
      </c>
      <c r="X12" s="19">
        <f t="shared" si="15"/>
        <v>0</v>
      </c>
      <c r="Y12" s="8">
        <f t="shared" si="16"/>
        <v>0</v>
      </c>
      <c r="Z12" s="8">
        <f t="shared" si="17"/>
        <v>0</v>
      </c>
      <c r="AA12" s="9">
        <f t="shared" si="18"/>
        <v>0</v>
      </c>
      <c r="AC12" s="3" t="s">
        <v>554</v>
      </c>
      <c r="AD12" s="3" t="s">
        <v>554</v>
      </c>
      <c r="AE12" s="3" t="s">
        <v>591</v>
      </c>
      <c r="AF12" s="9">
        <f t="shared" si="9"/>
        <v>0</v>
      </c>
    </row>
    <row r="13" spans="1:32" x14ac:dyDescent="0.25">
      <c r="A13" s="22" t="s">
        <v>42</v>
      </c>
      <c r="B13" s="24" t="s">
        <v>303</v>
      </c>
      <c r="D13" s="10">
        <v>0.95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6">
        <v>0</v>
      </c>
      <c r="R13" s="4">
        <f t="shared" si="2"/>
        <v>0</v>
      </c>
      <c r="S13" s="5">
        <f t="shared" si="12"/>
        <v>1.6448536269514715</v>
      </c>
      <c r="T13" s="6">
        <f t="shared" si="13"/>
        <v>0</v>
      </c>
      <c r="U13" s="3">
        <v>1</v>
      </c>
      <c r="V13" s="7">
        <f t="shared" si="3"/>
        <v>0.23076923076923078</v>
      </c>
      <c r="W13" s="18">
        <f t="shared" si="14"/>
        <v>0</v>
      </c>
      <c r="X13" s="19">
        <f t="shared" si="15"/>
        <v>0</v>
      </c>
      <c r="Y13" s="8">
        <f t="shared" si="16"/>
        <v>0</v>
      </c>
      <c r="Z13" s="8">
        <f t="shared" si="17"/>
        <v>0</v>
      </c>
      <c r="AA13" s="9">
        <f t="shared" si="18"/>
        <v>0</v>
      </c>
      <c r="AC13" s="3" t="s">
        <v>554</v>
      </c>
      <c r="AD13" s="3" t="s">
        <v>554</v>
      </c>
      <c r="AE13" s="3" t="s">
        <v>591</v>
      </c>
      <c r="AF13" s="9">
        <f t="shared" si="9"/>
        <v>0</v>
      </c>
    </row>
    <row r="14" spans="1:32" x14ac:dyDescent="0.25">
      <c r="A14" s="21" t="s">
        <v>43</v>
      </c>
      <c r="B14" s="23" t="s">
        <v>304</v>
      </c>
      <c r="D14" s="10">
        <v>0.95</v>
      </c>
      <c r="E14" s="1">
        <v>0</v>
      </c>
      <c r="F14" s="1">
        <v>0</v>
      </c>
      <c r="G14" s="1">
        <v>4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26">
        <v>6</v>
      </c>
      <c r="R14" s="4">
        <f t="shared" si="2"/>
        <v>0.5</v>
      </c>
      <c r="S14" s="5">
        <f t="shared" si="12"/>
        <v>1.6448536269514715</v>
      </c>
      <c r="T14" s="6">
        <f t="shared" si="13"/>
        <v>1.1677484162422844</v>
      </c>
      <c r="U14" s="3">
        <v>3</v>
      </c>
      <c r="V14" s="7">
        <f t="shared" si="3"/>
        <v>0.69230769230769229</v>
      </c>
      <c r="W14" s="18">
        <f t="shared" si="14"/>
        <v>2</v>
      </c>
      <c r="X14" s="19">
        <f t="shared" si="15"/>
        <v>1.0457707270487042</v>
      </c>
      <c r="Y14" s="25">
        <f t="shared" si="16"/>
        <v>1</v>
      </c>
      <c r="Z14" s="25">
        <f t="shared" si="17"/>
        <v>3</v>
      </c>
      <c r="AA14" s="9">
        <f t="shared" si="18"/>
        <v>0</v>
      </c>
      <c r="AC14" s="3" t="s">
        <v>555</v>
      </c>
      <c r="AD14" s="3" t="s">
        <v>557</v>
      </c>
      <c r="AE14" s="3" t="s">
        <v>592</v>
      </c>
      <c r="AF14" s="9">
        <f t="shared" si="9"/>
        <v>0</v>
      </c>
    </row>
    <row r="15" spans="1:32" x14ac:dyDescent="0.25">
      <c r="A15" s="22" t="s">
        <v>44</v>
      </c>
      <c r="B15" s="24" t="s">
        <v>305</v>
      </c>
      <c r="D15" s="10">
        <v>0.95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26">
        <v>0</v>
      </c>
      <c r="R15" s="4">
        <f t="shared" si="2"/>
        <v>0</v>
      </c>
      <c r="S15" s="5">
        <f t="shared" si="12"/>
        <v>1.6448536269514715</v>
      </c>
      <c r="T15" s="6">
        <f t="shared" si="13"/>
        <v>0</v>
      </c>
      <c r="U15" s="3">
        <v>1</v>
      </c>
      <c r="V15" s="7">
        <f t="shared" si="3"/>
        <v>0.23076923076923078</v>
      </c>
      <c r="W15" s="18">
        <f t="shared" si="14"/>
        <v>0</v>
      </c>
      <c r="X15" s="19">
        <f t="shared" si="15"/>
        <v>0</v>
      </c>
      <c r="Y15" s="8">
        <f t="shared" si="16"/>
        <v>0</v>
      </c>
      <c r="Z15" s="8">
        <f t="shared" si="17"/>
        <v>0</v>
      </c>
      <c r="AA15" s="9">
        <f t="shared" si="18"/>
        <v>0</v>
      </c>
      <c r="AC15" s="3" t="s">
        <v>554</v>
      </c>
      <c r="AD15" s="3" t="s">
        <v>554</v>
      </c>
      <c r="AE15" s="3" t="s">
        <v>591</v>
      </c>
      <c r="AF15" s="9">
        <f t="shared" si="9"/>
        <v>0</v>
      </c>
    </row>
    <row r="16" spans="1:32" x14ac:dyDescent="0.25">
      <c r="A16" s="21" t="s">
        <v>45</v>
      </c>
      <c r="B16" s="23" t="s">
        <v>306</v>
      </c>
      <c r="D16" s="10">
        <v>0.95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26">
        <v>0</v>
      </c>
      <c r="R16" s="4">
        <f t="shared" si="2"/>
        <v>0</v>
      </c>
      <c r="S16" s="5">
        <f t="shared" si="12"/>
        <v>1.6448536269514715</v>
      </c>
      <c r="T16" s="6">
        <f t="shared" si="13"/>
        <v>0</v>
      </c>
      <c r="U16" s="3">
        <v>1</v>
      </c>
      <c r="V16" s="7">
        <f t="shared" si="3"/>
        <v>0.23076923076923078</v>
      </c>
      <c r="W16" s="18">
        <f t="shared" si="14"/>
        <v>0</v>
      </c>
      <c r="X16" s="19">
        <f t="shared" si="15"/>
        <v>0</v>
      </c>
      <c r="Y16" s="8">
        <f t="shared" si="16"/>
        <v>0</v>
      </c>
      <c r="Z16" s="8">
        <f t="shared" si="17"/>
        <v>0</v>
      </c>
      <c r="AA16" s="9">
        <f t="shared" si="18"/>
        <v>0</v>
      </c>
      <c r="AC16" s="3" t="s">
        <v>554</v>
      </c>
      <c r="AD16" s="3" t="s">
        <v>554</v>
      </c>
      <c r="AE16" s="3" t="s">
        <v>591</v>
      </c>
      <c r="AF16" s="9">
        <f t="shared" si="9"/>
        <v>0</v>
      </c>
    </row>
    <row r="17" spans="1:32" x14ac:dyDescent="0.25">
      <c r="A17" s="22" t="s">
        <v>46</v>
      </c>
      <c r="B17" s="24" t="s">
        <v>307</v>
      </c>
      <c r="D17" s="10">
        <v>0.98</v>
      </c>
      <c r="E17" s="1">
        <v>22</v>
      </c>
      <c r="F17" s="1">
        <v>32</v>
      </c>
      <c r="G17" s="1">
        <v>17</v>
      </c>
      <c r="H17" s="1">
        <v>29</v>
      </c>
      <c r="I17" s="1">
        <v>43</v>
      </c>
      <c r="J17" s="1">
        <v>96</v>
      </c>
      <c r="K17" s="1">
        <v>26</v>
      </c>
      <c r="L17" s="1">
        <v>42</v>
      </c>
      <c r="M17" s="1">
        <v>31</v>
      </c>
      <c r="N17" s="1">
        <v>69</v>
      </c>
      <c r="O17" s="1">
        <v>72</v>
      </c>
      <c r="P17" s="1">
        <v>8</v>
      </c>
      <c r="Q17" s="26">
        <v>487</v>
      </c>
      <c r="R17" s="4">
        <f t="shared" si="2"/>
        <v>40.583333333333336</v>
      </c>
      <c r="S17" s="5">
        <f t="shared" si="12"/>
        <v>2.0537489106318221</v>
      </c>
      <c r="T17" s="6">
        <f t="shared" si="13"/>
        <v>25.847308048099197</v>
      </c>
      <c r="U17" s="3">
        <v>1</v>
      </c>
      <c r="V17" s="7">
        <f t="shared" si="3"/>
        <v>0.23076923076923078</v>
      </c>
      <c r="W17" s="18">
        <f t="shared" si="14"/>
        <v>26</v>
      </c>
      <c r="X17" s="19">
        <f t="shared" si="15"/>
        <v>31.95345431499597</v>
      </c>
      <c r="Y17" s="25">
        <f t="shared" si="16"/>
        <v>41</v>
      </c>
      <c r="Z17" s="25">
        <f t="shared" si="17"/>
        <v>67</v>
      </c>
      <c r="AA17" s="9">
        <f t="shared" si="18"/>
        <v>0</v>
      </c>
      <c r="AC17" s="3" t="s">
        <v>556</v>
      </c>
      <c r="AD17" s="3" t="s">
        <v>576</v>
      </c>
      <c r="AE17" s="3" t="s">
        <v>593</v>
      </c>
      <c r="AF17" s="9">
        <f t="shared" si="9"/>
        <v>0</v>
      </c>
    </row>
    <row r="18" spans="1:32" x14ac:dyDescent="0.25">
      <c r="A18" s="21" t="s">
        <v>47</v>
      </c>
      <c r="B18" s="23" t="s">
        <v>308</v>
      </c>
      <c r="D18" s="10">
        <v>0.95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26">
        <v>0</v>
      </c>
      <c r="R18" s="4">
        <f t="shared" si="2"/>
        <v>0</v>
      </c>
      <c r="S18" s="5">
        <f t="shared" si="12"/>
        <v>1.6448536269514715</v>
      </c>
      <c r="T18" s="6">
        <f t="shared" si="13"/>
        <v>0</v>
      </c>
      <c r="U18" s="3">
        <v>1</v>
      </c>
      <c r="V18" s="7">
        <f t="shared" si="3"/>
        <v>0.23076923076923078</v>
      </c>
      <c r="W18" s="18">
        <f t="shared" si="14"/>
        <v>0</v>
      </c>
      <c r="X18" s="19">
        <f t="shared" si="15"/>
        <v>0</v>
      </c>
      <c r="Y18" s="8">
        <f t="shared" si="16"/>
        <v>0</v>
      </c>
      <c r="Z18" s="8">
        <f t="shared" si="17"/>
        <v>0</v>
      </c>
      <c r="AA18" s="9">
        <f t="shared" si="18"/>
        <v>0</v>
      </c>
      <c r="AC18" s="3" t="s">
        <v>554</v>
      </c>
      <c r="AD18" s="3" t="s">
        <v>554</v>
      </c>
      <c r="AE18" s="3" t="s">
        <v>591</v>
      </c>
      <c r="AF18" s="9">
        <f t="shared" si="9"/>
        <v>0</v>
      </c>
    </row>
    <row r="19" spans="1:32" x14ac:dyDescent="0.25">
      <c r="A19" s="22" t="s">
        <v>48</v>
      </c>
      <c r="B19" s="24" t="s">
        <v>309</v>
      </c>
      <c r="D19" s="10">
        <v>0.95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26">
        <v>0</v>
      </c>
      <c r="R19" s="4">
        <f t="shared" si="2"/>
        <v>0</v>
      </c>
      <c r="S19" s="5">
        <f t="shared" si="12"/>
        <v>1.6448536269514715</v>
      </c>
      <c r="T19" s="6">
        <f t="shared" si="13"/>
        <v>0</v>
      </c>
      <c r="U19" s="3">
        <v>1</v>
      </c>
      <c r="V19" s="7">
        <f t="shared" si="3"/>
        <v>0.23076923076923078</v>
      </c>
      <c r="W19" s="18">
        <f t="shared" si="14"/>
        <v>0</v>
      </c>
      <c r="X19" s="19">
        <f t="shared" si="15"/>
        <v>0</v>
      </c>
      <c r="Y19" s="8">
        <f t="shared" si="16"/>
        <v>0</v>
      </c>
      <c r="Z19" s="8">
        <f t="shared" si="17"/>
        <v>0</v>
      </c>
      <c r="AA19" s="9">
        <f t="shared" si="18"/>
        <v>0</v>
      </c>
      <c r="AC19" s="3" t="s">
        <v>554</v>
      </c>
      <c r="AD19" s="3" t="s">
        <v>554</v>
      </c>
      <c r="AE19" s="3" t="s">
        <v>591</v>
      </c>
      <c r="AF19" s="9">
        <f t="shared" si="9"/>
        <v>0</v>
      </c>
    </row>
    <row r="20" spans="1:32" x14ac:dyDescent="0.25">
      <c r="A20" s="21" t="s">
        <v>49</v>
      </c>
      <c r="B20" s="23" t="s">
        <v>310</v>
      </c>
      <c r="D20" s="10">
        <v>0.95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26">
        <v>0</v>
      </c>
      <c r="R20" s="4">
        <f t="shared" si="2"/>
        <v>0</v>
      </c>
      <c r="S20" s="5">
        <f t="shared" si="12"/>
        <v>1.6448536269514715</v>
      </c>
      <c r="T20" s="6">
        <f t="shared" si="13"/>
        <v>0</v>
      </c>
      <c r="U20" s="3">
        <v>1</v>
      </c>
      <c r="V20" s="7">
        <f t="shared" si="3"/>
        <v>0.23076923076923078</v>
      </c>
      <c r="W20" s="18">
        <f t="shared" si="14"/>
        <v>0</v>
      </c>
      <c r="X20" s="19">
        <f t="shared" si="15"/>
        <v>0</v>
      </c>
      <c r="Y20" s="8">
        <f t="shared" si="16"/>
        <v>0</v>
      </c>
      <c r="Z20" s="8">
        <f t="shared" si="17"/>
        <v>0</v>
      </c>
      <c r="AA20" s="9">
        <f t="shared" si="18"/>
        <v>0</v>
      </c>
      <c r="AC20" s="3" t="s">
        <v>554</v>
      </c>
      <c r="AD20" s="3" t="s">
        <v>554</v>
      </c>
      <c r="AE20" s="3" t="s">
        <v>591</v>
      </c>
      <c r="AF20" s="9">
        <f t="shared" si="9"/>
        <v>0</v>
      </c>
    </row>
    <row r="21" spans="1:32" x14ac:dyDescent="0.25">
      <c r="A21" s="22" t="s">
        <v>50</v>
      </c>
      <c r="B21" s="24" t="s">
        <v>311</v>
      </c>
      <c r="D21" s="10">
        <v>0.95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26">
        <v>0</v>
      </c>
      <c r="R21" s="4">
        <f t="shared" si="2"/>
        <v>0</v>
      </c>
      <c r="S21" s="5">
        <f t="shared" si="12"/>
        <v>1.6448536269514715</v>
      </c>
      <c r="T21" s="6">
        <f t="shared" si="13"/>
        <v>0</v>
      </c>
      <c r="U21" s="3">
        <v>1</v>
      </c>
      <c r="V21" s="7">
        <f t="shared" si="3"/>
        <v>0.23076923076923078</v>
      </c>
      <c r="W21" s="18">
        <f t="shared" si="14"/>
        <v>0</v>
      </c>
      <c r="X21" s="19">
        <f t="shared" si="15"/>
        <v>0</v>
      </c>
      <c r="Y21" s="8">
        <f t="shared" si="16"/>
        <v>0</v>
      </c>
      <c r="Z21" s="8">
        <f t="shared" si="17"/>
        <v>0</v>
      </c>
      <c r="AA21" s="9">
        <f t="shared" si="18"/>
        <v>0</v>
      </c>
      <c r="AC21" s="3" t="s">
        <v>554</v>
      </c>
      <c r="AD21" s="3" t="s">
        <v>554</v>
      </c>
      <c r="AE21" s="3" t="s">
        <v>591</v>
      </c>
      <c r="AF21" s="9">
        <f t="shared" si="9"/>
        <v>0</v>
      </c>
    </row>
    <row r="22" spans="1:32" x14ac:dyDescent="0.25">
      <c r="A22" s="21" t="s">
        <v>51</v>
      </c>
      <c r="B22" s="23" t="s">
        <v>312</v>
      </c>
      <c r="D22" s="10">
        <v>0.95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26">
        <v>0</v>
      </c>
      <c r="R22" s="4">
        <f t="shared" si="2"/>
        <v>0</v>
      </c>
      <c r="S22" s="5">
        <f t="shared" si="12"/>
        <v>1.6448536269514715</v>
      </c>
      <c r="T22" s="6">
        <f t="shared" si="13"/>
        <v>0</v>
      </c>
      <c r="U22" s="3">
        <v>1</v>
      </c>
      <c r="V22" s="7">
        <f t="shared" si="3"/>
        <v>0.23076923076923078</v>
      </c>
      <c r="W22" s="18">
        <f t="shared" si="14"/>
        <v>0</v>
      </c>
      <c r="X22" s="19">
        <f t="shared" si="15"/>
        <v>0</v>
      </c>
      <c r="Y22" s="8">
        <f t="shared" si="16"/>
        <v>0</v>
      </c>
      <c r="Z22" s="8">
        <f t="shared" si="17"/>
        <v>0</v>
      </c>
      <c r="AA22" s="9">
        <f t="shared" si="18"/>
        <v>0</v>
      </c>
      <c r="AC22" s="3" t="s">
        <v>554</v>
      </c>
      <c r="AD22" s="3" t="s">
        <v>554</v>
      </c>
      <c r="AE22" s="3" t="s">
        <v>591</v>
      </c>
      <c r="AF22" s="9">
        <f t="shared" si="9"/>
        <v>0</v>
      </c>
    </row>
    <row r="23" spans="1:32" x14ac:dyDescent="0.25">
      <c r="A23" s="22" t="s">
        <v>52</v>
      </c>
      <c r="B23" s="24" t="s">
        <v>313</v>
      </c>
      <c r="D23" s="10">
        <v>0.95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26">
        <v>0</v>
      </c>
      <c r="R23" s="4">
        <f t="shared" si="2"/>
        <v>0</v>
      </c>
      <c r="S23" s="5">
        <f t="shared" si="12"/>
        <v>1.6448536269514715</v>
      </c>
      <c r="T23" s="6">
        <f t="shared" si="13"/>
        <v>0</v>
      </c>
      <c r="U23" s="3">
        <v>1</v>
      </c>
      <c r="V23" s="7">
        <f t="shared" si="3"/>
        <v>0.23076923076923078</v>
      </c>
      <c r="W23" s="18">
        <f t="shared" si="14"/>
        <v>0</v>
      </c>
      <c r="X23" s="19">
        <f t="shared" si="15"/>
        <v>0</v>
      </c>
      <c r="Y23" s="8">
        <f t="shared" si="16"/>
        <v>0</v>
      </c>
      <c r="Z23" s="8">
        <f t="shared" si="17"/>
        <v>0</v>
      </c>
      <c r="AA23" s="9">
        <f t="shared" si="18"/>
        <v>0</v>
      </c>
      <c r="AC23" s="3" t="s">
        <v>554</v>
      </c>
      <c r="AD23" s="3" t="s">
        <v>554</v>
      </c>
      <c r="AE23" s="3" t="s">
        <v>591</v>
      </c>
      <c r="AF23" s="9">
        <f t="shared" si="9"/>
        <v>0</v>
      </c>
    </row>
    <row r="24" spans="1:32" x14ac:dyDescent="0.25">
      <c r="A24" s="21" t="s">
        <v>53</v>
      </c>
      <c r="B24" s="23" t="s">
        <v>314</v>
      </c>
      <c r="D24" s="10">
        <v>0.95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26">
        <v>0</v>
      </c>
      <c r="R24" s="4">
        <f t="shared" si="2"/>
        <v>0</v>
      </c>
      <c r="S24" s="5">
        <f t="shared" si="12"/>
        <v>1.6448536269514715</v>
      </c>
      <c r="T24" s="6">
        <f t="shared" si="13"/>
        <v>0</v>
      </c>
      <c r="U24" s="3">
        <v>1</v>
      </c>
      <c r="V24" s="7">
        <f t="shared" si="3"/>
        <v>0.23076923076923078</v>
      </c>
      <c r="W24" s="18">
        <f t="shared" si="14"/>
        <v>0</v>
      </c>
      <c r="X24" s="19">
        <f t="shared" si="15"/>
        <v>0</v>
      </c>
      <c r="Y24" s="8">
        <f t="shared" si="16"/>
        <v>0</v>
      </c>
      <c r="Z24" s="8">
        <f t="shared" si="17"/>
        <v>0</v>
      </c>
      <c r="AA24" s="9">
        <f t="shared" si="18"/>
        <v>0</v>
      </c>
      <c r="AC24" s="3" t="s">
        <v>554</v>
      </c>
      <c r="AD24" s="3" t="s">
        <v>554</v>
      </c>
      <c r="AE24" s="3" t="s">
        <v>591</v>
      </c>
      <c r="AF24" s="9">
        <f t="shared" si="9"/>
        <v>0</v>
      </c>
    </row>
    <row r="25" spans="1:32" x14ac:dyDescent="0.25">
      <c r="A25" s="22" t="s">
        <v>54</v>
      </c>
      <c r="B25" s="24" t="s">
        <v>315</v>
      </c>
      <c r="D25" s="10">
        <v>0.95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26">
        <v>0</v>
      </c>
      <c r="R25" s="4">
        <f t="shared" si="2"/>
        <v>0</v>
      </c>
      <c r="S25" s="5">
        <f t="shared" si="12"/>
        <v>1.6448536269514715</v>
      </c>
      <c r="T25" s="6">
        <f t="shared" si="13"/>
        <v>0</v>
      </c>
      <c r="U25" s="3">
        <v>1</v>
      </c>
      <c r="V25" s="7">
        <f t="shared" si="3"/>
        <v>0.23076923076923078</v>
      </c>
      <c r="W25" s="18">
        <f t="shared" si="14"/>
        <v>0</v>
      </c>
      <c r="X25" s="19">
        <f t="shared" si="15"/>
        <v>0</v>
      </c>
      <c r="Y25" s="8">
        <f t="shared" si="16"/>
        <v>0</v>
      </c>
      <c r="Z25" s="8">
        <f t="shared" si="17"/>
        <v>0</v>
      </c>
      <c r="AA25" s="9">
        <f t="shared" si="18"/>
        <v>0</v>
      </c>
      <c r="AC25" s="3" t="s">
        <v>554</v>
      </c>
      <c r="AD25" s="3" t="s">
        <v>554</v>
      </c>
      <c r="AE25" s="3" t="s">
        <v>591</v>
      </c>
      <c r="AF25" s="9">
        <f t="shared" si="9"/>
        <v>0</v>
      </c>
    </row>
    <row r="26" spans="1:32" x14ac:dyDescent="0.25">
      <c r="A26" s="21" t="s">
        <v>55</v>
      </c>
      <c r="B26" s="23" t="s">
        <v>316</v>
      </c>
      <c r="D26" s="10">
        <v>0.95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26">
        <v>0</v>
      </c>
      <c r="R26" s="4">
        <f t="shared" si="2"/>
        <v>0</v>
      </c>
      <c r="S26" s="5">
        <f t="shared" si="12"/>
        <v>1.6448536269514715</v>
      </c>
      <c r="T26" s="6">
        <f t="shared" si="13"/>
        <v>0</v>
      </c>
      <c r="U26" s="3">
        <v>1</v>
      </c>
      <c r="V26" s="7">
        <f t="shared" si="3"/>
        <v>0.23076923076923078</v>
      </c>
      <c r="W26" s="18">
        <f t="shared" si="14"/>
        <v>0</v>
      </c>
      <c r="X26" s="19">
        <f t="shared" si="15"/>
        <v>0</v>
      </c>
      <c r="Y26" s="8">
        <f t="shared" si="16"/>
        <v>0</v>
      </c>
      <c r="Z26" s="8">
        <f t="shared" si="17"/>
        <v>0</v>
      </c>
      <c r="AA26" s="9">
        <f t="shared" si="18"/>
        <v>0</v>
      </c>
      <c r="AC26" s="3" t="s">
        <v>554</v>
      </c>
      <c r="AD26" s="3" t="s">
        <v>554</v>
      </c>
      <c r="AE26" s="3" t="s">
        <v>591</v>
      </c>
      <c r="AF26" s="9">
        <f t="shared" si="9"/>
        <v>0</v>
      </c>
    </row>
    <row r="27" spans="1:32" x14ac:dyDescent="0.25">
      <c r="A27" s="22" t="s">
        <v>56</v>
      </c>
      <c r="B27" s="24" t="s">
        <v>317</v>
      </c>
      <c r="D27" s="10">
        <v>0.95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26">
        <v>0</v>
      </c>
      <c r="R27" s="4">
        <f t="shared" si="2"/>
        <v>0</v>
      </c>
      <c r="S27" s="5">
        <f t="shared" si="12"/>
        <v>1.6448536269514715</v>
      </c>
      <c r="T27" s="6">
        <f t="shared" si="13"/>
        <v>0</v>
      </c>
      <c r="U27" s="3">
        <v>1</v>
      </c>
      <c r="V27" s="7">
        <f t="shared" si="3"/>
        <v>0.23076923076923078</v>
      </c>
      <c r="W27" s="18">
        <f t="shared" si="14"/>
        <v>0</v>
      </c>
      <c r="X27" s="19">
        <f t="shared" si="15"/>
        <v>0</v>
      </c>
      <c r="Y27" s="8">
        <f t="shared" si="16"/>
        <v>0</v>
      </c>
      <c r="Z27" s="8">
        <f t="shared" si="17"/>
        <v>0</v>
      </c>
      <c r="AA27" s="9">
        <f t="shared" si="18"/>
        <v>0</v>
      </c>
      <c r="AC27" s="3" t="s">
        <v>554</v>
      </c>
      <c r="AD27" s="3" t="s">
        <v>554</v>
      </c>
      <c r="AE27" s="3" t="s">
        <v>591</v>
      </c>
      <c r="AF27" s="9">
        <f t="shared" si="9"/>
        <v>0</v>
      </c>
    </row>
    <row r="28" spans="1:32" x14ac:dyDescent="0.25">
      <c r="A28" s="21" t="s">
        <v>57</v>
      </c>
      <c r="B28" s="23" t="s">
        <v>318</v>
      </c>
      <c r="D28" s="10">
        <v>0.95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26">
        <v>0</v>
      </c>
      <c r="R28" s="4">
        <f t="shared" si="2"/>
        <v>0</v>
      </c>
      <c r="S28" s="5">
        <f t="shared" ref="S28:S91" si="19">NORMSINV(D28)</f>
        <v>1.6448536269514715</v>
      </c>
      <c r="T28" s="6">
        <f t="shared" ref="T28:T91" si="20">STDEV(E28:P28)</f>
        <v>0</v>
      </c>
      <c r="U28" s="3">
        <v>1</v>
      </c>
      <c r="V28" s="7">
        <f t="shared" si="3"/>
        <v>0.23076923076923078</v>
      </c>
      <c r="W28" s="18">
        <f t="shared" ref="W28:W91" si="21">CEILING(S28*T28*(SQRT(V28)),1)</f>
        <v>0</v>
      </c>
      <c r="X28" s="19">
        <f t="shared" ref="X28:X91" si="22">S28*SQRT(T28*V28*R28)</f>
        <v>0</v>
      </c>
      <c r="Y28" s="8">
        <f t="shared" ref="Y28:Y91" si="23">ROUND(V28*R28+X28,0)</f>
        <v>0</v>
      </c>
      <c r="Z28" s="8">
        <f t="shared" ref="Z28:Z91" si="24">ROUND(Y28+W28,0)</f>
        <v>0</v>
      </c>
      <c r="AA28" s="9">
        <f t="shared" ref="AA28:AA91" si="25">C28*Z28</f>
        <v>0</v>
      </c>
      <c r="AC28" s="3" t="s">
        <v>554</v>
      </c>
      <c r="AD28" s="3" t="s">
        <v>554</v>
      </c>
      <c r="AE28" s="3" t="s">
        <v>591</v>
      </c>
      <c r="AF28" s="9">
        <f t="shared" ref="AF28:AF91" si="26">AD28*C28</f>
        <v>0</v>
      </c>
    </row>
    <row r="29" spans="1:32" x14ac:dyDescent="0.25">
      <c r="A29" s="22" t="s">
        <v>58</v>
      </c>
      <c r="B29" s="24" t="s">
        <v>319</v>
      </c>
      <c r="D29" s="10">
        <v>0.95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26">
        <v>0</v>
      </c>
      <c r="R29" s="4">
        <f t="shared" si="2"/>
        <v>0</v>
      </c>
      <c r="S29" s="5">
        <f t="shared" si="19"/>
        <v>1.6448536269514715</v>
      </c>
      <c r="T29" s="6">
        <f t="shared" si="20"/>
        <v>0</v>
      </c>
      <c r="U29" s="3">
        <v>1</v>
      </c>
      <c r="V29" s="7">
        <f t="shared" si="3"/>
        <v>0.23076923076923078</v>
      </c>
      <c r="W29" s="18">
        <f t="shared" si="21"/>
        <v>0</v>
      </c>
      <c r="X29" s="19">
        <f t="shared" si="22"/>
        <v>0</v>
      </c>
      <c r="Y29" s="8">
        <f t="shared" si="23"/>
        <v>0</v>
      </c>
      <c r="Z29" s="8">
        <f t="shared" si="24"/>
        <v>0</v>
      </c>
      <c r="AA29" s="9">
        <f t="shared" si="25"/>
        <v>0</v>
      </c>
      <c r="AC29" s="3" t="s">
        <v>554</v>
      </c>
      <c r="AD29" s="3" t="s">
        <v>554</v>
      </c>
      <c r="AE29" s="3" t="s">
        <v>591</v>
      </c>
      <c r="AF29" s="9">
        <f t="shared" si="26"/>
        <v>0</v>
      </c>
    </row>
    <row r="30" spans="1:32" x14ac:dyDescent="0.25">
      <c r="A30" s="21" t="s">
        <v>59</v>
      </c>
      <c r="B30" s="23" t="s">
        <v>320</v>
      </c>
      <c r="D30" s="10">
        <v>0.95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26">
        <v>0</v>
      </c>
      <c r="R30" s="4">
        <f t="shared" si="2"/>
        <v>0</v>
      </c>
      <c r="S30" s="5">
        <f t="shared" si="19"/>
        <v>1.6448536269514715</v>
      </c>
      <c r="T30" s="6">
        <f t="shared" si="20"/>
        <v>0</v>
      </c>
      <c r="U30" s="3">
        <v>1</v>
      </c>
      <c r="V30" s="7">
        <f t="shared" si="3"/>
        <v>0.23076923076923078</v>
      </c>
      <c r="W30" s="18">
        <f t="shared" si="21"/>
        <v>0</v>
      </c>
      <c r="X30" s="19">
        <f t="shared" si="22"/>
        <v>0</v>
      </c>
      <c r="Y30" s="8">
        <f t="shared" si="23"/>
        <v>0</v>
      </c>
      <c r="Z30" s="8">
        <f t="shared" si="24"/>
        <v>0</v>
      </c>
      <c r="AA30" s="9">
        <f t="shared" si="25"/>
        <v>0</v>
      </c>
      <c r="AC30" s="3" t="s">
        <v>554</v>
      </c>
      <c r="AD30" s="3" t="s">
        <v>554</v>
      </c>
      <c r="AE30" s="3" t="s">
        <v>591</v>
      </c>
      <c r="AF30" s="9">
        <f t="shared" si="26"/>
        <v>0</v>
      </c>
    </row>
    <row r="31" spans="1:32" x14ac:dyDescent="0.25">
      <c r="A31" s="22" t="s">
        <v>60</v>
      </c>
      <c r="B31" s="24" t="s">
        <v>321</v>
      </c>
      <c r="D31" s="10">
        <v>0.95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26">
        <v>0</v>
      </c>
      <c r="R31" s="4">
        <f t="shared" si="2"/>
        <v>0</v>
      </c>
      <c r="S31" s="5">
        <f t="shared" si="19"/>
        <v>1.6448536269514715</v>
      </c>
      <c r="T31" s="6">
        <f t="shared" si="20"/>
        <v>0</v>
      </c>
      <c r="U31" s="3">
        <v>1</v>
      </c>
      <c r="V31" s="7">
        <f t="shared" si="3"/>
        <v>0.23076923076923078</v>
      </c>
      <c r="W31" s="18">
        <f t="shared" si="21"/>
        <v>0</v>
      </c>
      <c r="X31" s="19">
        <f t="shared" si="22"/>
        <v>0</v>
      </c>
      <c r="Y31" s="8">
        <f t="shared" si="23"/>
        <v>0</v>
      </c>
      <c r="Z31" s="8">
        <f t="shared" si="24"/>
        <v>0</v>
      </c>
      <c r="AA31" s="9">
        <f t="shared" si="25"/>
        <v>0</v>
      </c>
      <c r="AC31" s="3" t="s">
        <v>554</v>
      </c>
      <c r="AD31" s="3" t="s">
        <v>554</v>
      </c>
      <c r="AE31" s="3" t="s">
        <v>591</v>
      </c>
      <c r="AF31" s="9">
        <f t="shared" si="26"/>
        <v>0</v>
      </c>
    </row>
    <row r="32" spans="1:32" x14ac:dyDescent="0.25">
      <c r="A32" s="21" t="s">
        <v>61</v>
      </c>
      <c r="B32" s="23" t="s">
        <v>322</v>
      </c>
      <c r="D32" s="10">
        <v>0.95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26">
        <v>0</v>
      </c>
      <c r="R32" s="4">
        <f t="shared" si="2"/>
        <v>0</v>
      </c>
      <c r="S32" s="5">
        <f t="shared" si="19"/>
        <v>1.6448536269514715</v>
      </c>
      <c r="T32" s="6">
        <f t="shared" si="20"/>
        <v>0</v>
      </c>
      <c r="U32" s="3">
        <v>1</v>
      </c>
      <c r="V32" s="7">
        <f t="shared" si="3"/>
        <v>0.23076923076923078</v>
      </c>
      <c r="W32" s="18">
        <f t="shared" si="21"/>
        <v>0</v>
      </c>
      <c r="X32" s="19">
        <f t="shared" si="22"/>
        <v>0</v>
      </c>
      <c r="Y32" s="8">
        <f t="shared" si="23"/>
        <v>0</v>
      </c>
      <c r="Z32" s="8">
        <f t="shared" si="24"/>
        <v>0</v>
      </c>
      <c r="AA32" s="9">
        <f t="shared" si="25"/>
        <v>0</v>
      </c>
      <c r="AC32" s="3" t="s">
        <v>554</v>
      </c>
      <c r="AD32" s="3" t="s">
        <v>554</v>
      </c>
      <c r="AE32" s="3" t="s">
        <v>591</v>
      </c>
      <c r="AF32" s="9">
        <f t="shared" si="26"/>
        <v>0</v>
      </c>
    </row>
    <row r="33" spans="1:32" x14ac:dyDescent="0.25">
      <c r="A33" s="22" t="s">
        <v>62</v>
      </c>
      <c r="B33" s="24" t="s">
        <v>323</v>
      </c>
      <c r="D33" s="10">
        <v>0.95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26">
        <v>0</v>
      </c>
      <c r="R33" s="4">
        <f t="shared" si="2"/>
        <v>0</v>
      </c>
      <c r="S33" s="5">
        <f t="shared" si="19"/>
        <v>1.6448536269514715</v>
      </c>
      <c r="T33" s="6">
        <f t="shared" si="20"/>
        <v>0</v>
      </c>
      <c r="U33" s="3">
        <v>1</v>
      </c>
      <c r="V33" s="7">
        <f t="shared" si="3"/>
        <v>0.23076923076923078</v>
      </c>
      <c r="W33" s="18">
        <f t="shared" si="21"/>
        <v>0</v>
      </c>
      <c r="X33" s="19">
        <f t="shared" si="22"/>
        <v>0</v>
      </c>
      <c r="Y33" s="8">
        <f t="shared" si="23"/>
        <v>0</v>
      </c>
      <c r="Z33" s="8">
        <f t="shared" si="24"/>
        <v>0</v>
      </c>
      <c r="AA33" s="9">
        <f t="shared" si="25"/>
        <v>0</v>
      </c>
      <c r="AC33" s="3" t="s">
        <v>554</v>
      </c>
      <c r="AD33" s="3" t="s">
        <v>554</v>
      </c>
      <c r="AE33" s="3" t="s">
        <v>591</v>
      </c>
      <c r="AF33" s="9">
        <f t="shared" si="26"/>
        <v>0</v>
      </c>
    </row>
    <row r="34" spans="1:32" x14ac:dyDescent="0.25">
      <c r="A34" s="21" t="s">
        <v>63</v>
      </c>
      <c r="B34" s="23" t="s">
        <v>324</v>
      </c>
      <c r="D34" s="10">
        <v>0.95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26">
        <v>0</v>
      </c>
      <c r="R34" s="4">
        <f t="shared" si="2"/>
        <v>0</v>
      </c>
      <c r="S34" s="5">
        <f t="shared" si="19"/>
        <v>1.6448536269514715</v>
      </c>
      <c r="T34" s="6">
        <f t="shared" si="20"/>
        <v>0</v>
      </c>
      <c r="U34" s="3">
        <v>1</v>
      </c>
      <c r="V34" s="7">
        <f t="shared" si="3"/>
        <v>0.23076923076923078</v>
      </c>
      <c r="W34" s="18">
        <f t="shared" si="21"/>
        <v>0</v>
      </c>
      <c r="X34" s="19">
        <f t="shared" si="22"/>
        <v>0</v>
      </c>
      <c r="Y34" s="8">
        <f t="shared" si="23"/>
        <v>0</v>
      </c>
      <c r="Z34" s="8">
        <f t="shared" si="24"/>
        <v>0</v>
      </c>
      <c r="AA34" s="9">
        <f t="shared" si="25"/>
        <v>0</v>
      </c>
      <c r="AC34" s="3" t="s">
        <v>554</v>
      </c>
      <c r="AD34" s="3" t="s">
        <v>554</v>
      </c>
      <c r="AE34" s="3" t="s">
        <v>591</v>
      </c>
      <c r="AF34" s="9">
        <f t="shared" si="26"/>
        <v>0</v>
      </c>
    </row>
    <row r="35" spans="1:32" x14ac:dyDescent="0.25">
      <c r="A35" s="22" t="s">
        <v>64</v>
      </c>
      <c r="B35" s="24" t="s">
        <v>325</v>
      </c>
      <c r="D35" s="10">
        <v>0.95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26">
        <v>0</v>
      </c>
      <c r="R35" s="4">
        <f t="shared" si="2"/>
        <v>0</v>
      </c>
      <c r="S35" s="5">
        <f t="shared" si="19"/>
        <v>1.6448536269514715</v>
      </c>
      <c r="T35" s="6">
        <f t="shared" si="20"/>
        <v>0</v>
      </c>
      <c r="U35" s="3">
        <v>1</v>
      </c>
      <c r="V35" s="7">
        <f t="shared" si="3"/>
        <v>0.23076923076923078</v>
      </c>
      <c r="W35" s="18">
        <f t="shared" si="21"/>
        <v>0</v>
      </c>
      <c r="X35" s="19">
        <f t="shared" si="22"/>
        <v>0</v>
      </c>
      <c r="Y35" s="8">
        <f t="shared" si="23"/>
        <v>0</v>
      </c>
      <c r="Z35" s="8">
        <f t="shared" si="24"/>
        <v>0</v>
      </c>
      <c r="AA35" s="9">
        <f t="shared" si="25"/>
        <v>0</v>
      </c>
      <c r="AC35" s="3" t="s">
        <v>554</v>
      </c>
      <c r="AD35" s="3" t="s">
        <v>554</v>
      </c>
      <c r="AE35" s="3" t="s">
        <v>591</v>
      </c>
      <c r="AF35" s="9">
        <f t="shared" si="26"/>
        <v>0</v>
      </c>
    </row>
    <row r="36" spans="1:32" x14ac:dyDescent="0.25">
      <c r="A36" s="21" t="s">
        <v>65</v>
      </c>
      <c r="B36" s="23" t="s">
        <v>326</v>
      </c>
      <c r="D36" s="10">
        <v>0.95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26">
        <v>0</v>
      </c>
      <c r="R36" s="4">
        <f t="shared" si="2"/>
        <v>0</v>
      </c>
      <c r="S36" s="5">
        <f t="shared" si="19"/>
        <v>1.6448536269514715</v>
      </c>
      <c r="T36" s="6">
        <f t="shared" si="20"/>
        <v>0</v>
      </c>
      <c r="U36" s="3">
        <v>1</v>
      </c>
      <c r="V36" s="7">
        <f t="shared" si="3"/>
        <v>0.23076923076923078</v>
      </c>
      <c r="W36" s="18">
        <f t="shared" si="21"/>
        <v>0</v>
      </c>
      <c r="X36" s="19">
        <f t="shared" si="22"/>
        <v>0</v>
      </c>
      <c r="Y36" s="8">
        <f t="shared" si="23"/>
        <v>0</v>
      </c>
      <c r="Z36" s="8">
        <f t="shared" si="24"/>
        <v>0</v>
      </c>
      <c r="AA36" s="9">
        <f t="shared" si="25"/>
        <v>0</v>
      </c>
      <c r="AC36" s="3" t="s">
        <v>554</v>
      </c>
      <c r="AD36" s="3" t="s">
        <v>554</v>
      </c>
      <c r="AE36" s="3" t="s">
        <v>591</v>
      </c>
      <c r="AF36" s="9">
        <f t="shared" si="26"/>
        <v>0</v>
      </c>
    </row>
    <row r="37" spans="1:32" x14ac:dyDescent="0.25">
      <c r="A37" s="22" t="s">
        <v>66</v>
      </c>
      <c r="B37" s="24" t="s">
        <v>327</v>
      </c>
      <c r="D37" s="10">
        <v>0.95</v>
      </c>
      <c r="E37" s="1">
        <v>0</v>
      </c>
      <c r="F37" s="1">
        <v>0</v>
      </c>
      <c r="G37" s="1">
        <v>0</v>
      </c>
      <c r="H37" s="1">
        <v>5</v>
      </c>
      <c r="I37" s="1">
        <v>1</v>
      </c>
      <c r="J37" s="1">
        <v>0</v>
      </c>
      <c r="K37" s="1">
        <v>0</v>
      </c>
      <c r="L37" s="1">
        <v>0</v>
      </c>
      <c r="M37" s="1">
        <v>4</v>
      </c>
      <c r="N37" s="1">
        <v>0</v>
      </c>
      <c r="O37" s="1">
        <v>0</v>
      </c>
      <c r="P37" s="1">
        <v>2</v>
      </c>
      <c r="Q37" s="26">
        <v>12</v>
      </c>
      <c r="R37" s="4">
        <f t="shared" si="2"/>
        <v>1</v>
      </c>
      <c r="S37" s="5">
        <f t="shared" si="19"/>
        <v>1.6448536269514715</v>
      </c>
      <c r="T37" s="6">
        <f t="shared" si="20"/>
        <v>1.7580981459830651</v>
      </c>
      <c r="U37" s="3">
        <v>1</v>
      </c>
      <c r="V37" s="7">
        <f t="shared" si="3"/>
        <v>0.23076923076923078</v>
      </c>
      <c r="W37" s="18">
        <f t="shared" si="21"/>
        <v>2</v>
      </c>
      <c r="X37" s="19">
        <f t="shared" si="22"/>
        <v>1.0477019831540939</v>
      </c>
      <c r="Y37" s="25">
        <f t="shared" si="23"/>
        <v>1</v>
      </c>
      <c r="Z37" s="25">
        <f t="shared" si="24"/>
        <v>3</v>
      </c>
      <c r="AA37" s="9">
        <f t="shared" si="25"/>
        <v>0</v>
      </c>
      <c r="AC37" s="3" t="s">
        <v>557</v>
      </c>
      <c r="AD37" s="3" t="s">
        <v>577</v>
      </c>
      <c r="AE37" s="3" t="s">
        <v>582</v>
      </c>
      <c r="AF37" s="9">
        <f t="shared" si="26"/>
        <v>0</v>
      </c>
    </row>
    <row r="38" spans="1:32" x14ac:dyDescent="0.25">
      <c r="A38" s="21" t="s">
        <v>67</v>
      </c>
      <c r="B38" s="23" t="s">
        <v>328</v>
      </c>
      <c r="D38" s="10">
        <v>0.95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26">
        <v>0</v>
      </c>
      <c r="R38" s="4">
        <f t="shared" si="2"/>
        <v>0</v>
      </c>
      <c r="S38" s="5">
        <f t="shared" si="19"/>
        <v>1.6448536269514715</v>
      </c>
      <c r="T38" s="6">
        <f t="shared" si="20"/>
        <v>0</v>
      </c>
      <c r="U38" s="3">
        <v>1</v>
      </c>
      <c r="V38" s="7">
        <f t="shared" si="3"/>
        <v>0.23076923076923078</v>
      </c>
      <c r="W38" s="18">
        <f t="shared" si="21"/>
        <v>0</v>
      </c>
      <c r="X38" s="19">
        <f t="shared" si="22"/>
        <v>0</v>
      </c>
      <c r="Y38" s="8">
        <f t="shared" si="23"/>
        <v>0</v>
      </c>
      <c r="Z38" s="8">
        <f t="shared" si="24"/>
        <v>0</v>
      </c>
      <c r="AA38" s="9">
        <f t="shared" si="25"/>
        <v>0</v>
      </c>
      <c r="AC38" s="3" t="s">
        <v>554</v>
      </c>
      <c r="AD38" s="3" t="s">
        <v>554</v>
      </c>
      <c r="AE38" s="3" t="s">
        <v>591</v>
      </c>
      <c r="AF38" s="9">
        <f t="shared" si="26"/>
        <v>0</v>
      </c>
    </row>
    <row r="39" spans="1:32" x14ac:dyDescent="0.25">
      <c r="A39" s="22" t="s">
        <v>68</v>
      </c>
      <c r="B39" s="24" t="s">
        <v>329</v>
      </c>
      <c r="D39" s="10">
        <v>0.95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26">
        <v>0</v>
      </c>
      <c r="R39" s="4">
        <f t="shared" si="2"/>
        <v>0</v>
      </c>
      <c r="S39" s="5">
        <f t="shared" si="19"/>
        <v>1.6448536269514715</v>
      </c>
      <c r="T39" s="6">
        <f t="shared" si="20"/>
        <v>0</v>
      </c>
      <c r="U39" s="3">
        <v>1</v>
      </c>
      <c r="V39" s="7">
        <f t="shared" si="3"/>
        <v>0.23076923076923078</v>
      </c>
      <c r="W39" s="18">
        <f t="shared" si="21"/>
        <v>0</v>
      </c>
      <c r="X39" s="19">
        <f t="shared" si="22"/>
        <v>0</v>
      </c>
      <c r="Y39" s="8">
        <f t="shared" si="23"/>
        <v>0</v>
      </c>
      <c r="Z39" s="8">
        <f t="shared" si="24"/>
        <v>0</v>
      </c>
      <c r="AA39" s="9">
        <f t="shared" si="25"/>
        <v>0</v>
      </c>
      <c r="AC39" s="3" t="s">
        <v>554</v>
      </c>
      <c r="AD39" s="3" t="s">
        <v>554</v>
      </c>
      <c r="AE39" s="3" t="s">
        <v>591</v>
      </c>
      <c r="AF39" s="9">
        <f t="shared" si="26"/>
        <v>0</v>
      </c>
    </row>
    <row r="40" spans="1:32" x14ac:dyDescent="0.25">
      <c r="A40" s="21" t="s">
        <v>69</v>
      </c>
      <c r="B40" s="23" t="s">
        <v>330</v>
      </c>
      <c r="D40" s="10">
        <v>0.95</v>
      </c>
      <c r="E40" s="1">
        <v>34</v>
      </c>
      <c r="F40" s="1">
        <v>8</v>
      </c>
      <c r="G40" s="1">
        <v>2</v>
      </c>
      <c r="H40" s="1">
        <v>39</v>
      </c>
      <c r="I40" s="1">
        <v>15</v>
      </c>
      <c r="J40" s="1">
        <v>45</v>
      </c>
      <c r="K40" s="1">
        <v>4</v>
      </c>
      <c r="L40" s="1">
        <v>5</v>
      </c>
      <c r="M40" s="1">
        <v>36</v>
      </c>
      <c r="N40" s="1">
        <v>26</v>
      </c>
      <c r="O40" s="1">
        <v>11</v>
      </c>
      <c r="P40" s="1">
        <v>13</v>
      </c>
      <c r="Q40" s="26">
        <v>238</v>
      </c>
      <c r="R40" s="4">
        <f t="shared" si="2"/>
        <v>19.833333333333332</v>
      </c>
      <c r="S40" s="5">
        <f t="shared" si="19"/>
        <v>1.6448536269514715</v>
      </c>
      <c r="T40" s="6">
        <f t="shared" si="20"/>
        <v>15.30795000427338</v>
      </c>
      <c r="U40" s="3">
        <v>1</v>
      </c>
      <c r="V40" s="7">
        <f t="shared" si="3"/>
        <v>0.23076923076923078</v>
      </c>
      <c r="W40" s="18">
        <f t="shared" si="21"/>
        <v>13</v>
      </c>
      <c r="X40" s="19">
        <f t="shared" si="22"/>
        <v>13.768054646720481</v>
      </c>
      <c r="Y40" s="25">
        <f t="shared" si="23"/>
        <v>18</v>
      </c>
      <c r="Z40" s="25">
        <f t="shared" si="24"/>
        <v>31</v>
      </c>
      <c r="AA40" s="9">
        <f t="shared" si="25"/>
        <v>0</v>
      </c>
      <c r="AC40" s="3" t="s">
        <v>558</v>
      </c>
      <c r="AD40" s="3" t="s">
        <v>569</v>
      </c>
      <c r="AE40" s="3" t="s">
        <v>582</v>
      </c>
      <c r="AF40" s="9">
        <f t="shared" si="26"/>
        <v>0</v>
      </c>
    </row>
    <row r="41" spans="1:32" x14ac:dyDescent="0.25">
      <c r="A41" s="22" t="s">
        <v>70</v>
      </c>
      <c r="B41" s="24" t="s">
        <v>331</v>
      </c>
      <c r="D41" s="10">
        <v>0.95</v>
      </c>
      <c r="E41" s="1">
        <v>568</v>
      </c>
      <c r="F41" s="1">
        <v>500</v>
      </c>
      <c r="G41" s="1">
        <v>602</v>
      </c>
      <c r="H41" s="1">
        <v>574</v>
      </c>
      <c r="I41" s="1">
        <v>585</v>
      </c>
      <c r="J41" s="1">
        <v>535</v>
      </c>
      <c r="K41" s="1">
        <v>309</v>
      </c>
      <c r="L41" s="1">
        <v>286</v>
      </c>
      <c r="M41" s="1">
        <v>414</v>
      </c>
      <c r="N41" s="1">
        <v>544</v>
      </c>
      <c r="O41" s="1">
        <v>749</v>
      </c>
      <c r="P41" s="1">
        <v>248</v>
      </c>
      <c r="Q41" s="26">
        <v>5914</v>
      </c>
      <c r="R41" s="4">
        <f t="shared" si="2"/>
        <v>492.83333333333331</v>
      </c>
      <c r="S41" s="5">
        <f t="shared" si="19"/>
        <v>1.6448536269514715</v>
      </c>
      <c r="T41" s="6">
        <f t="shared" si="20"/>
        <v>149.37800332976695</v>
      </c>
      <c r="U41" s="3">
        <v>1</v>
      </c>
      <c r="V41" s="7">
        <f t="shared" si="3"/>
        <v>0.23076923076923078</v>
      </c>
      <c r="W41" s="18">
        <f t="shared" si="21"/>
        <v>119</v>
      </c>
      <c r="X41" s="19">
        <f t="shared" si="22"/>
        <v>214.39249090637199</v>
      </c>
      <c r="Y41" s="8">
        <f t="shared" si="23"/>
        <v>328</v>
      </c>
      <c r="Z41" s="8">
        <f t="shared" si="24"/>
        <v>447</v>
      </c>
      <c r="AA41" s="9">
        <f t="shared" si="25"/>
        <v>0</v>
      </c>
      <c r="AC41" s="3" t="s">
        <v>559</v>
      </c>
      <c r="AD41" s="3" t="s">
        <v>578</v>
      </c>
      <c r="AE41" s="3" t="s">
        <v>594</v>
      </c>
      <c r="AF41" s="9">
        <f t="shared" si="26"/>
        <v>0</v>
      </c>
    </row>
    <row r="42" spans="1:32" x14ac:dyDescent="0.25">
      <c r="A42" s="21" t="s">
        <v>71</v>
      </c>
      <c r="B42" s="23" t="s">
        <v>332</v>
      </c>
      <c r="D42" s="10">
        <v>0.95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26">
        <v>0</v>
      </c>
      <c r="R42" s="4">
        <f t="shared" si="2"/>
        <v>0</v>
      </c>
      <c r="S42" s="5">
        <f t="shared" si="19"/>
        <v>1.6448536269514715</v>
      </c>
      <c r="T42" s="6">
        <f t="shared" si="20"/>
        <v>0</v>
      </c>
      <c r="U42" s="3">
        <v>1</v>
      </c>
      <c r="V42" s="7">
        <f t="shared" si="3"/>
        <v>0.23076923076923078</v>
      </c>
      <c r="W42" s="18">
        <f t="shared" si="21"/>
        <v>0</v>
      </c>
      <c r="X42" s="19">
        <f t="shared" si="22"/>
        <v>0</v>
      </c>
      <c r="Y42" s="8">
        <f t="shared" si="23"/>
        <v>0</v>
      </c>
      <c r="Z42" s="8">
        <f t="shared" si="24"/>
        <v>0</v>
      </c>
      <c r="AA42" s="9">
        <f t="shared" si="25"/>
        <v>0</v>
      </c>
      <c r="AC42" s="3" t="s">
        <v>554</v>
      </c>
      <c r="AD42" s="3" t="s">
        <v>554</v>
      </c>
      <c r="AE42" s="3" t="s">
        <v>591</v>
      </c>
      <c r="AF42" s="9">
        <f t="shared" si="26"/>
        <v>0</v>
      </c>
    </row>
    <row r="43" spans="1:32" x14ac:dyDescent="0.25">
      <c r="A43" s="22" t="s">
        <v>72</v>
      </c>
      <c r="B43" s="24" t="s">
        <v>333</v>
      </c>
      <c r="D43" s="10">
        <v>0.95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26">
        <v>0</v>
      </c>
      <c r="R43" s="4">
        <f t="shared" si="2"/>
        <v>0</v>
      </c>
      <c r="S43" s="5">
        <f t="shared" si="19"/>
        <v>1.6448536269514715</v>
      </c>
      <c r="T43" s="6">
        <f t="shared" si="20"/>
        <v>0</v>
      </c>
      <c r="U43" s="3">
        <v>1</v>
      </c>
      <c r="V43" s="7">
        <f t="shared" si="3"/>
        <v>0.23076923076923078</v>
      </c>
      <c r="W43" s="18">
        <f t="shared" si="21"/>
        <v>0</v>
      </c>
      <c r="X43" s="19">
        <f t="shared" si="22"/>
        <v>0</v>
      </c>
      <c r="Y43" s="8">
        <f t="shared" si="23"/>
        <v>0</v>
      </c>
      <c r="Z43" s="8">
        <f t="shared" si="24"/>
        <v>0</v>
      </c>
      <c r="AA43" s="9">
        <f t="shared" si="25"/>
        <v>0</v>
      </c>
      <c r="AC43" s="3" t="s">
        <v>554</v>
      </c>
      <c r="AD43" s="3" t="s">
        <v>554</v>
      </c>
      <c r="AE43" s="3" t="s">
        <v>591</v>
      </c>
      <c r="AF43" s="9">
        <f t="shared" si="26"/>
        <v>0</v>
      </c>
    </row>
    <row r="44" spans="1:32" x14ac:dyDescent="0.25">
      <c r="A44" s="21" t="s">
        <v>73</v>
      </c>
      <c r="B44" s="23" t="s">
        <v>334</v>
      </c>
      <c r="D44" s="10">
        <v>0.95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26">
        <v>0</v>
      </c>
      <c r="R44" s="4">
        <f t="shared" si="2"/>
        <v>0</v>
      </c>
      <c r="S44" s="5">
        <f t="shared" si="19"/>
        <v>1.6448536269514715</v>
      </c>
      <c r="T44" s="6">
        <f t="shared" si="20"/>
        <v>0</v>
      </c>
      <c r="U44" s="3">
        <v>1</v>
      </c>
      <c r="V44" s="7">
        <f t="shared" si="3"/>
        <v>0.23076923076923078</v>
      </c>
      <c r="W44" s="18">
        <f t="shared" si="21"/>
        <v>0</v>
      </c>
      <c r="X44" s="19">
        <f t="shared" si="22"/>
        <v>0</v>
      </c>
      <c r="Y44" s="8">
        <f t="shared" si="23"/>
        <v>0</v>
      </c>
      <c r="Z44" s="8">
        <f t="shared" si="24"/>
        <v>0</v>
      </c>
      <c r="AA44" s="9">
        <f t="shared" si="25"/>
        <v>0</v>
      </c>
      <c r="AC44" s="3" t="s">
        <v>554</v>
      </c>
      <c r="AD44" s="3" t="s">
        <v>554</v>
      </c>
      <c r="AE44" s="3" t="s">
        <v>591</v>
      </c>
      <c r="AF44" s="9">
        <f t="shared" si="26"/>
        <v>0</v>
      </c>
    </row>
    <row r="45" spans="1:32" x14ac:dyDescent="0.25">
      <c r="A45" s="22" t="s">
        <v>74</v>
      </c>
      <c r="B45" s="24" t="s">
        <v>335</v>
      </c>
      <c r="D45" s="10">
        <v>0.95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26">
        <v>0</v>
      </c>
      <c r="R45" s="4">
        <f t="shared" si="2"/>
        <v>0</v>
      </c>
      <c r="S45" s="5">
        <f t="shared" si="19"/>
        <v>1.6448536269514715</v>
      </c>
      <c r="T45" s="6">
        <f t="shared" si="20"/>
        <v>0</v>
      </c>
      <c r="U45" s="3">
        <v>1</v>
      </c>
      <c r="V45" s="7">
        <f t="shared" si="3"/>
        <v>0.23076923076923078</v>
      </c>
      <c r="W45" s="18">
        <f t="shared" si="21"/>
        <v>0</v>
      </c>
      <c r="X45" s="19">
        <f t="shared" si="22"/>
        <v>0</v>
      </c>
      <c r="Y45" s="8">
        <f t="shared" si="23"/>
        <v>0</v>
      </c>
      <c r="Z45" s="8">
        <f t="shared" si="24"/>
        <v>0</v>
      </c>
      <c r="AA45" s="9">
        <f t="shared" si="25"/>
        <v>0</v>
      </c>
      <c r="AC45" s="3" t="s">
        <v>554</v>
      </c>
      <c r="AD45" s="3" t="s">
        <v>554</v>
      </c>
      <c r="AE45" s="3" t="s">
        <v>591</v>
      </c>
      <c r="AF45" s="9">
        <f t="shared" si="26"/>
        <v>0</v>
      </c>
    </row>
    <row r="46" spans="1:32" x14ac:dyDescent="0.25">
      <c r="A46" s="21" t="s">
        <v>75</v>
      </c>
      <c r="B46" s="23" t="s">
        <v>336</v>
      </c>
      <c r="D46" s="10">
        <v>0.95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26">
        <v>0</v>
      </c>
      <c r="R46" s="4">
        <f t="shared" si="2"/>
        <v>0</v>
      </c>
      <c r="S46" s="5">
        <f t="shared" si="19"/>
        <v>1.6448536269514715</v>
      </c>
      <c r="T46" s="6">
        <f t="shared" si="20"/>
        <v>0</v>
      </c>
      <c r="U46" s="3">
        <v>3</v>
      </c>
      <c r="V46" s="7">
        <f t="shared" si="3"/>
        <v>0.69230769230769229</v>
      </c>
      <c r="W46" s="18">
        <f t="shared" si="21"/>
        <v>0</v>
      </c>
      <c r="X46" s="19">
        <f t="shared" si="22"/>
        <v>0</v>
      </c>
      <c r="Y46" s="8">
        <f t="shared" si="23"/>
        <v>0</v>
      </c>
      <c r="Z46" s="8">
        <f t="shared" si="24"/>
        <v>0</v>
      </c>
      <c r="AA46" s="9">
        <f t="shared" si="25"/>
        <v>0</v>
      </c>
      <c r="AC46" s="3" t="s">
        <v>554</v>
      </c>
      <c r="AD46" s="3" t="s">
        <v>554</v>
      </c>
      <c r="AE46" s="3" t="s">
        <v>591</v>
      </c>
      <c r="AF46" s="9">
        <f t="shared" si="26"/>
        <v>0</v>
      </c>
    </row>
    <row r="47" spans="1:32" x14ac:dyDescent="0.25">
      <c r="A47" s="22" t="s">
        <v>76</v>
      </c>
      <c r="B47" s="24" t="s">
        <v>337</v>
      </c>
      <c r="D47" s="10">
        <v>0.95</v>
      </c>
      <c r="E47" s="1">
        <v>0</v>
      </c>
      <c r="F47" s="1">
        <v>0</v>
      </c>
      <c r="G47" s="1">
        <v>0</v>
      </c>
      <c r="H47" s="1">
        <v>0</v>
      </c>
      <c r="I47" s="1">
        <v>4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26">
        <v>4</v>
      </c>
      <c r="R47" s="4">
        <f t="shared" si="2"/>
        <v>0.33333333333333331</v>
      </c>
      <c r="S47" s="5">
        <f t="shared" si="19"/>
        <v>1.6448536269514715</v>
      </c>
      <c r="T47" s="6">
        <f t="shared" si="20"/>
        <v>1.1547005383792515</v>
      </c>
      <c r="U47" s="3">
        <v>1</v>
      </c>
      <c r="V47" s="7">
        <f t="shared" si="3"/>
        <v>0.23076923076923078</v>
      </c>
      <c r="W47" s="18">
        <f t="shared" si="21"/>
        <v>1</v>
      </c>
      <c r="X47" s="19">
        <f t="shared" si="22"/>
        <v>0.4902191411895791</v>
      </c>
      <c r="Y47" s="25">
        <f t="shared" si="23"/>
        <v>1</v>
      </c>
      <c r="Z47" s="25">
        <f t="shared" si="24"/>
        <v>2</v>
      </c>
      <c r="AA47" s="9">
        <f t="shared" si="25"/>
        <v>0</v>
      </c>
      <c r="AC47" s="3" t="s">
        <v>554</v>
      </c>
      <c r="AD47" s="3" t="s">
        <v>554</v>
      </c>
      <c r="AE47" s="3" t="s">
        <v>595</v>
      </c>
      <c r="AF47" s="9">
        <f t="shared" si="26"/>
        <v>0</v>
      </c>
    </row>
    <row r="48" spans="1:32" x14ac:dyDescent="0.25">
      <c r="A48" s="21" t="s">
        <v>77</v>
      </c>
      <c r="B48" s="23" t="s">
        <v>338</v>
      </c>
      <c r="D48" s="10">
        <v>0.95</v>
      </c>
      <c r="E48" s="1">
        <v>0</v>
      </c>
      <c r="F48" s="1">
        <v>12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12</v>
      </c>
      <c r="M48" s="1">
        <v>8</v>
      </c>
      <c r="N48" s="1">
        <v>0</v>
      </c>
      <c r="O48" s="1">
        <v>0</v>
      </c>
      <c r="P48" s="1">
        <v>0</v>
      </c>
      <c r="Q48" s="26">
        <v>32</v>
      </c>
      <c r="R48" s="4">
        <f t="shared" si="2"/>
        <v>2.6666666666666665</v>
      </c>
      <c r="S48" s="5">
        <f t="shared" si="19"/>
        <v>1.6448536269514715</v>
      </c>
      <c r="T48" s="6">
        <f t="shared" si="20"/>
        <v>4.9236596391733096</v>
      </c>
      <c r="U48" s="3">
        <v>1</v>
      </c>
      <c r="V48" s="7">
        <f t="shared" si="3"/>
        <v>0.23076923076923078</v>
      </c>
      <c r="W48" s="18">
        <f t="shared" si="21"/>
        <v>4</v>
      </c>
      <c r="X48" s="19">
        <f t="shared" si="22"/>
        <v>2.8631531952843794</v>
      </c>
      <c r="Y48" s="25">
        <f t="shared" si="23"/>
        <v>3</v>
      </c>
      <c r="Z48" s="25">
        <f t="shared" si="24"/>
        <v>7</v>
      </c>
      <c r="AA48" s="9">
        <f t="shared" si="25"/>
        <v>0</v>
      </c>
      <c r="AC48" s="3" t="s">
        <v>557</v>
      </c>
      <c r="AD48" s="3" t="s">
        <v>567</v>
      </c>
      <c r="AE48" s="3" t="s">
        <v>562</v>
      </c>
      <c r="AF48" s="9">
        <f t="shared" si="26"/>
        <v>0</v>
      </c>
    </row>
    <row r="49" spans="1:32" x14ac:dyDescent="0.25">
      <c r="A49" s="22" t="s">
        <v>78</v>
      </c>
      <c r="B49" s="24" t="s">
        <v>339</v>
      </c>
      <c r="D49" s="10">
        <v>0.95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26">
        <v>0</v>
      </c>
      <c r="R49" s="4">
        <f t="shared" si="2"/>
        <v>0</v>
      </c>
      <c r="S49" s="5">
        <f t="shared" si="19"/>
        <v>1.6448536269514715</v>
      </c>
      <c r="T49" s="6">
        <f t="shared" si="20"/>
        <v>0</v>
      </c>
      <c r="U49" s="3">
        <v>1</v>
      </c>
      <c r="V49" s="7">
        <f t="shared" si="3"/>
        <v>0.23076923076923078</v>
      </c>
      <c r="W49" s="18">
        <f t="shared" si="21"/>
        <v>0</v>
      </c>
      <c r="X49" s="19">
        <f t="shared" si="22"/>
        <v>0</v>
      </c>
      <c r="Y49" s="8">
        <f t="shared" si="23"/>
        <v>0</v>
      </c>
      <c r="Z49" s="8">
        <f t="shared" si="24"/>
        <v>0</v>
      </c>
      <c r="AA49" s="9">
        <f t="shared" si="25"/>
        <v>0</v>
      </c>
      <c r="AC49" s="3" t="s">
        <v>554</v>
      </c>
      <c r="AD49" s="3" t="s">
        <v>554</v>
      </c>
      <c r="AE49" s="3" t="s">
        <v>591</v>
      </c>
      <c r="AF49" s="9">
        <f t="shared" si="26"/>
        <v>0</v>
      </c>
    </row>
    <row r="50" spans="1:32" x14ac:dyDescent="0.25">
      <c r="A50" s="21" t="s">
        <v>79</v>
      </c>
      <c r="B50" s="23" t="s">
        <v>340</v>
      </c>
      <c r="D50" s="10">
        <v>0.95</v>
      </c>
      <c r="E50" s="1">
        <v>4</v>
      </c>
      <c r="F50" s="1">
        <v>6</v>
      </c>
      <c r="G50" s="1">
        <v>5</v>
      </c>
      <c r="H50" s="1">
        <v>2</v>
      </c>
      <c r="I50" s="1">
        <v>1</v>
      </c>
      <c r="J50" s="1">
        <v>0</v>
      </c>
      <c r="K50" s="1">
        <v>0</v>
      </c>
      <c r="L50" s="1">
        <v>5</v>
      </c>
      <c r="M50" s="1">
        <v>10</v>
      </c>
      <c r="N50" s="1">
        <v>0</v>
      </c>
      <c r="O50" s="1">
        <v>0</v>
      </c>
      <c r="P50" s="1">
        <v>5</v>
      </c>
      <c r="Q50" s="26">
        <v>38</v>
      </c>
      <c r="R50" s="4">
        <f t="shared" si="2"/>
        <v>3.1666666666666665</v>
      </c>
      <c r="S50" s="5">
        <f t="shared" si="19"/>
        <v>1.6448536269514715</v>
      </c>
      <c r="T50" s="6">
        <f t="shared" si="20"/>
        <v>3.1861442452461488</v>
      </c>
      <c r="U50" s="3">
        <v>1</v>
      </c>
      <c r="V50" s="7">
        <f t="shared" si="3"/>
        <v>0.23076923076923078</v>
      </c>
      <c r="W50" s="18">
        <f t="shared" si="21"/>
        <v>3</v>
      </c>
      <c r="X50" s="19">
        <f t="shared" si="22"/>
        <v>2.5098634840599794</v>
      </c>
      <c r="Y50" s="25">
        <f t="shared" si="23"/>
        <v>3</v>
      </c>
      <c r="Z50" s="25">
        <f t="shared" si="24"/>
        <v>6</v>
      </c>
      <c r="AA50" s="9">
        <f t="shared" si="25"/>
        <v>0</v>
      </c>
      <c r="AC50" s="3" t="s">
        <v>560</v>
      </c>
      <c r="AD50" s="3" t="s">
        <v>579</v>
      </c>
      <c r="AE50" s="3" t="s">
        <v>596</v>
      </c>
      <c r="AF50" s="9">
        <f t="shared" si="26"/>
        <v>0</v>
      </c>
    </row>
    <row r="51" spans="1:32" x14ac:dyDescent="0.25">
      <c r="A51" s="22" t="s">
        <v>80</v>
      </c>
      <c r="B51" s="24" t="s">
        <v>341</v>
      </c>
      <c r="D51" s="10">
        <v>0.95</v>
      </c>
      <c r="E51" s="1">
        <v>6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26">
        <v>6</v>
      </c>
      <c r="R51" s="4">
        <f t="shared" si="2"/>
        <v>0.5</v>
      </c>
      <c r="S51" s="5">
        <f t="shared" si="19"/>
        <v>1.6448536269514715</v>
      </c>
      <c r="T51" s="6">
        <f t="shared" si="20"/>
        <v>1.7320508075688772</v>
      </c>
      <c r="U51" s="3">
        <v>1</v>
      </c>
      <c r="V51" s="7">
        <f t="shared" si="3"/>
        <v>0.23076923076923078</v>
      </c>
      <c r="W51" s="18">
        <f t="shared" si="21"/>
        <v>2</v>
      </c>
      <c r="X51" s="19">
        <f t="shared" si="22"/>
        <v>0.73532871178436865</v>
      </c>
      <c r="Y51" s="25">
        <f t="shared" si="23"/>
        <v>1</v>
      </c>
      <c r="Z51" s="25">
        <f t="shared" si="24"/>
        <v>3</v>
      </c>
      <c r="AA51" s="9">
        <f t="shared" si="25"/>
        <v>0</v>
      </c>
      <c r="AC51" s="3" t="s">
        <v>561</v>
      </c>
      <c r="AD51" s="3" t="s">
        <v>557</v>
      </c>
      <c r="AE51" s="3" t="s">
        <v>563</v>
      </c>
      <c r="AF51" s="9">
        <f t="shared" si="26"/>
        <v>0</v>
      </c>
    </row>
    <row r="52" spans="1:32" x14ac:dyDescent="0.25">
      <c r="A52" s="21" t="s">
        <v>81</v>
      </c>
      <c r="B52" s="23" t="s">
        <v>342</v>
      </c>
      <c r="D52" s="10">
        <v>0.95</v>
      </c>
      <c r="E52" s="1">
        <v>39</v>
      </c>
      <c r="F52" s="1">
        <v>15</v>
      </c>
      <c r="G52" s="1">
        <v>0</v>
      </c>
      <c r="H52" s="1">
        <v>2</v>
      </c>
      <c r="I52" s="1">
        <v>24</v>
      </c>
      <c r="J52" s="1">
        <v>15</v>
      </c>
      <c r="K52" s="1">
        <v>17</v>
      </c>
      <c r="L52" s="1">
        <v>0</v>
      </c>
      <c r="M52" s="1">
        <v>34</v>
      </c>
      <c r="N52" s="1">
        <v>24</v>
      </c>
      <c r="O52" s="1">
        <v>58</v>
      </c>
      <c r="P52" s="1">
        <v>27</v>
      </c>
      <c r="Q52" s="26">
        <v>255</v>
      </c>
      <c r="R52" s="4">
        <f t="shared" si="2"/>
        <v>21.25</v>
      </c>
      <c r="S52" s="5">
        <f t="shared" si="19"/>
        <v>1.6448536269514715</v>
      </c>
      <c r="T52" s="6">
        <f t="shared" si="20"/>
        <v>17.178871801245748</v>
      </c>
      <c r="U52" s="3">
        <v>1</v>
      </c>
      <c r="V52" s="7">
        <f t="shared" si="3"/>
        <v>0.23076923076923078</v>
      </c>
      <c r="W52" s="18">
        <f t="shared" si="21"/>
        <v>14</v>
      </c>
      <c r="X52" s="19">
        <f t="shared" si="22"/>
        <v>15.097081326690136</v>
      </c>
      <c r="Y52" s="25">
        <f t="shared" si="23"/>
        <v>20</v>
      </c>
      <c r="Z52" s="25">
        <f t="shared" si="24"/>
        <v>34</v>
      </c>
      <c r="AA52" s="9">
        <f t="shared" si="25"/>
        <v>0</v>
      </c>
      <c r="AC52" s="3" t="s">
        <v>562</v>
      </c>
      <c r="AD52" s="3" t="s">
        <v>580</v>
      </c>
      <c r="AE52" s="3" t="s">
        <v>597</v>
      </c>
      <c r="AF52" s="9">
        <f t="shared" si="26"/>
        <v>0</v>
      </c>
    </row>
    <row r="53" spans="1:32" x14ac:dyDescent="0.25">
      <c r="A53" s="22" t="s">
        <v>82</v>
      </c>
      <c r="B53" s="24" t="s">
        <v>343</v>
      </c>
      <c r="D53" s="10">
        <v>0.95</v>
      </c>
      <c r="E53" s="1">
        <v>147</v>
      </c>
      <c r="F53" s="1">
        <v>176</v>
      </c>
      <c r="G53" s="1">
        <v>138</v>
      </c>
      <c r="H53" s="1">
        <v>113</v>
      </c>
      <c r="I53" s="1">
        <v>113</v>
      </c>
      <c r="J53" s="1">
        <v>101</v>
      </c>
      <c r="K53" s="1">
        <v>52</v>
      </c>
      <c r="L53" s="1">
        <v>79</v>
      </c>
      <c r="M53" s="1">
        <v>110</v>
      </c>
      <c r="N53" s="1">
        <v>121</v>
      </c>
      <c r="O53" s="1">
        <v>94</v>
      </c>
      <c r="P53" s="1">
        <v>54</v>
      </c>
      <c r="Q53" s="26">
        <v>1298</v>
      </c>
      <c r="R53" s="4">
        <f t="shared" si="2"/>
        <v>108.16666666666667</v>
      </c>
      <c r="S53" s="5">
        <f t="shared" si="19"/>
        <v>1.6448536269514715</v>
      </c>
      <c r="T53" s="6">
        <f t="shared" si="20"/>
        <v>36.188479666961136</v>
      </c>
      <c r="U53" s="3">
        <v>1</v>
      </c>
      <c r="V53" s="7">
        <f t="shared" si="3"/>
        <v>0.23076923076923078</v>
      </c>
      <c r="W53" s="18">
        <f t="shared" si="21"/>
        <v>29</v>
      </c>
      <c r="X53" s="19">
        <f t="shared" si="22"/>
        <v>49.436543737915223</v>
      </c>
      <c r="Y53" s="8">
        <f t="shared" si="23"/>
        <v>74</v>
      </c>
      <c r="Z53" s="8">
        <f t="shared" si="24"/>
        <v>103</v>
      </c>
      <c r="AA53" s="9">
        <f t="shared" si="25"/>
        <v>0</v>
      </c>
      <c r="AC53" s="3" t="s">
        <v>563</v>
      </c>
      <c r="AD53" s="3" t="s">
        <v>581</v>
      </c>
      <c r="AE53" s="3" t="s">
        <v>596</v>
      </c>
      <c r="AF53" s="9">
        <f t="shared" si="26"/>
        <v>0</v>
      </c>
    </row>
    <row r="54" spans="1:32" x14ac:dyDescent="0.25">
      <c r="A54" s="21" t="s">
        <v>83</v>
      </c>
      <c r="B54" s="23" t="s">
        <v>344</v>
      </c>
      <c r="D54" s="10">
        <v>0.95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26">
        <v>0</v>
      </c>
      <c r="R54" s="4">
        <f t="shared" si="2"/>
        <v>0</v>
      </c>
      <c r="S54" s="5">
        <f t="shared" si="19"/>
        <v>1.6448536269514715</v>
      </c>
      <c r="T54" s="6">
        <f t="shared" si="20"/>
        <v>0</v>
      </c>
      <c r="U54" s="3">
        <v>1</v>
      </c>
      <c r="V54" s="7">
        <f t="shared" si="3"/>
        <v>0.23076923076923078</v>
      </c>
      <c r="W54" s="18">
        <f t="shared" si="21"/>
        <v>0</v>
      </c>
      <c r="X54" s="19">
        <f t="shared" si="22"/>
        <v>0</v>
      </c>
      <c r="Y54" s="8">
        <f t="shared" si="23"/>
        <v>0</v>
      </c>
      <c r="Z54" s="8">
        <f t="shared" si="24"/>
        <v>0</v>
      </c>
      <c r="AA54" s="9">
        <f t="shared" si="25"/>
        <v>0</v>
      </c>
      <c r="AC54" s="3" t="s">
        <v>554</v>
      </c>
      <c r="AD54" s="3" t="s">
        <v>554</v>
      </c>
      <c r="AE54" s="3" t="s">
        <v>591</v>
      </c>
      <c r="AF54" s="9">
        <f t="shared" si="26"/>
        <v>0</v>
      </c>
    </row>
    <row r="55" spans="1:32" x14ac:dyDescent="0.25">
      <c r="A55" s="22" t="s">
        <v>84</v>
      </c>
      <c r="B55" s="24" t="s">
        <v>345</v>
      </c>
      <c r="D55" s="10">
        <v>0.95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26">
        <v>0</v>
      </c>
      <c r="R55" s="4">
        <f t="shared" si="2"/>
        <v>0</v>
      </c>
      <c r="S55" s="5">
        <f t="shared" si="19"/>
        <v>1.6448536269514715</v>
      </c>
      <c r="T55" s="6">
        <f t="shared" si="20"/>
        <v>0</v>
      </c>
      <c r="U55" s="3">
        <v>3</v>
      </c>
      <c r="V55" s="7">
        <f t="shared" si="3"/>
        <v>0.69230769230769229</v>
      </c>
      <c r="W55" s="18">
        <f t="shared" si="21"/>
        <v>0</v>
      </c>
      <c r="X55" s="19">
        <f t="shared" si="22"/>
        <v>0</v>
      </c>
      <c r="Y55" s="8">
        <f t="shared" si="23"/>
        <v>0</v>
      </c>
      <c r="Z55" s="8">
        <f t="shared" si="24"/>
        <v>0</v>
      </c>
      <c r="AA55" s="9">
        <f t="shared" si="25"/>
        <v>0</v>
      </c>
      <c r="AC55" s="3" t="s">
        <v>554</v>
      </c>
      <c r="AD55" s="3" t="s">
        <v>554</v>
      </c>
      <c r="AE55" s="3" t="s">
        <v>591</v>
      </c>
      <c r="AF55" s="9">
        <f t="shared" si="26"/>
        <v>0</v>
      </c>
    </row>
    <row r="56" spans="1:32" x14ac:dyDescent="0.25">
      <c r="A56" s="21" t="s">
        <v>85</v>
      </c>
      <c r="B56" s="23" t="s">
        <v>346</v>
      </c>
      <c r="D56" s="10">
        <v>0.95</v>
      </c>
      <c r="E56" s="1">
        <v>116</v>
      </c>
      <c r="F56" s="1">
        <v>73</v>
      </c>
      <c r="G56" s="1">
        <v>41</v>
      </c>
      <c r="H56" s="1">
        <v>32</v>
      </c>
      <c r="I56" s="1">
        <v>94</v>
      </c>
      <c r="J56" s="1">
        <v>82</v>
      </c>
      <c r="K56" s="1">
        <v>77</v>
      </c>
      <c r="L56" s="1">
        <v>129</v>
      </c>
      <c r="M56" s="1">
        <v>80</v>
      </c>
      <c r="N56" s="1">
        <v>61</v>
      </c>
      <c r="O56" s="1">
        <v>70</v>
      </c>
      <c r="P56" s="1">
        <v>85</v>
      </c>
      <c r="Q56" s="26">
        <v>940</v>
      </c>
      <c r="R56" s="4">
        <f t="shared" si="2"/>
        <v>78.333333333333329</v>
      </c>
      <c r="S56" s="5">
        <f t="shared" si="19"/>
        <v>1.6448536269514715</v>
      </c>
      <c r="T56" s="6">
        <f t="shared" si="20"/>
        <v>27.357343482586952</v>
      </c>
      <c r="U56" s="3">
        <v>1</v>
      </c>
      <c r="V56" s="7">
        <f t="shared" si="3"/>
        <v>0.23076923076923078</v>
      </c>
      <c r="W56" s="18">
        <f t="shared" si="21"/>
        <v>22</v>
      </c>
      <c r="X56" s="19">
        <f t="shared" si="22"/>
        <v>36.57854895918868</v>
      </c>
      <c r="Y56" s="8">
        <f t="shared" si="23"/>
        <v>55</v>
      </c>
      <c r="Z56" s="8">
        <f t="shared" si="24"/>
        <v>77</v>
      </c>
      <c r="AA56" s="9">
        <f t="shared" si="25"/>
        <v>0</v>
      </c>
      <c r="AC56" s="3" t="s">
        <v>563</v>
      </c>
      <c r="AD56" s="3" t="s">
        <v>582</v>
      </c>
      <c r="AE56" s="3" t="s">
        <v>598</v>
      </c>
      <c r="AF56" s="9">
        <f t="shared" si="26"/>
        <v>0</v>
      </c>
    </row>
    <row r="57" spans="1:32" x14ac:dyDescent="0.25">
      <c r="A57" s="22" t="s">
        <v>86</v>
      </c>
      <c r="B57" s="24" t="s">
        <v>347</v>
      </c>
      <c r="D57" s="10">
        <v>0.95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26">
        <v>0</v>
      </c>
      <c r="R57" s="4">
        <f t="shared" si="2"/>
        <v>0</v>
      </c>
      <c r="S57" s="5">
        <f t="shared" si="19"/>
        <v>1.6448536269514715</v>
      </c>
      <c r="T57" s="6">
        <f t="shared" si="20"/>
        <v>0</v>
      </c>
      <c r="U57" s="3">
        <v>1</v>
      </c>
      <c r="V57" s="7">
        <f t="shared" si="3"/>
        <v>0.23076923076923078</v>
      </c>
      <c r="W57" s="18">
        <f t="shared" si="21"/>
        <v>0</v>
      </c>
      <c r="X57" s="19">
        <f t="shared" si="22"/>
        <v>0</v>
      </c>
      <c r="Y57" s="8">
        <f t="shared" si="23"/>
        <v>0</v>
      </c>
      <c r="Z57" s="8">
        <f t="shared" si="24"/>
        <v>0</v>
      </c>
      <c r="AA57" s="9">
        <f t="shared" si="25"/>
        <v>0</v>
      </c>
      <c r="AC57" s="3" t="s">
        <v>554</v>
      </c>
      <c r="AD57" s="3" t="s">
        <v>554</v>
      </c>
      <c r="AE57" s="3" t="s">
        <v>591</v>
      </c>
      <c r="AF57" s="9">
        <f t="shared" si="26"/>
        <v>0</v>
      </c>
    </row>
    <row r="58" spans="1:32" x14ac:dyDescent="0.25">
      <c r="A58" s="21" t="s">
        <v>87</v>
      </c>
      <c r="B58" s="23" t="s">
        <v>348</v>
      </c>
      <c r="D58" s="10">
        <v>0.95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26">
        <v>0</v>
      </c>
      <c r="R58" s="4">
        <f t="shared" si="2"/>
        <v>0</v>
      </c>
      <c r="S58" s="5">
        <f t="shared" si="19"/>
        <v>1.6448536269514715</v>
      </c>
      <c r="T58" s="6">
        <f t="shared" si="20"/>
        <v>0</v>
      </c>
      <c r="U58" s="3">
        <v>1</v>
      </c>
      <c r="V58" s="7">
        <f t="shared" si="3"/>
        <v>0.23076923076923078</v>
      </c>
      <c r="W58" s="18">
        <f t="shared" si="21"/>
        <v>0</v>
      </c>
      <c r="X58" s="19">
        <f t="shared" si="22"/>
        <v>0</v>
      </c>
      <c r="Y58" s="8">
        <f t="shared" si="23"/>
        <v>0</v>
      </c>
      <c r="Z58" s="8">
        <f t="shared" si="24"/>
        <v>0</v>
      </c>
      <c r="AA58" s="9">
        <f t="shared" si="25"/>
        <v>0</v>
      </c>
      <c r="AC58" s="3" t="s">
        <v>554</v>
      </c>
      <c r="AD58" s="3" t="s">
        <v>554</v>
      </c>
      <c r="AE58" s="3" t="s">
        <v>591</v>
      </c>
      <c r="AF58" s="9">
        <f t="shared" si="26"/>
        <v>0</v>
      </c>
    </row>
    <row r="59" spans="1:32" x14ac:dyDescent="0.25">
      <c r="A59" s="22" t="s">
        <v>88</v>
      </c>
      <c r="B59" s="24" t="s">
        <v>349</v>
      </c>
      <c r="D59" s="10">
        <v>0.95</v>
      </c>
      <c r="E59" s="1">
        <v>0</v>
      </c>
      <c r="F59" s="1">
        <v>1</v>
      </c>
      <c r="G59" s="1">
        <v>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6</v>
      </c>
      <c r="O59" s="1">
        <v>11</v>
      </c>
      <c r="P59" s="1">
        <v>1</v>
      </c>
      <c r="Q59" s="26">
        <v>24</v>
      </c>
      <c r="R59" s="4">
        <f t="shared" si="2"/>
        <v>2</v>
      </c>
      <c r="S59" s="5">
        <f t="shared" si="19"/>
        <v>1.6448536269514715</v>
      </c>
      <c r="T59" s="6">
        <f t="shared" si="20"/>
        <v>3.5161962919661303</v>
      </c>
      <c r="U59" s="3">
        <v>1</v>
      </c>
      <c r="V59" s="7">
        <f t="shared" si="3"/>
        <v>0.23076923076923078</v>
      </c>
      <c r="W59" s="18">
        <f t="shared" si="21"/>
        <v>3</v>
      </c>
      <c r="X59" s="19">
        <f t="shared" si="22"/>
        <v>2.0954039663081878</v>
      </c>
      <c r="Y59" s="25">
        <f t="shared" si="23"/>
        <v>3</v>
      </c>
      <c r="Z59" s="25">
        <f t="shared" si="24"/>
        <v>6</v>
      </c>
      <c r="AA59" s="9">
        <f t="shared" si="25"/>
        <v>0</v>
      </c>
      <c r="AC59" s="3" t="s">
        <v>564</v>
      </c>
      <c r="AD59" s="3" t="s">
        <v>583</v>
      </c>
      <c r="AE59" s="3" t="s">
        <v>599</v>
      </c>
      <c r="AF59" s="9">
        <f t="shared" si="26"/>
        <v>0</v>
      </c>
    </row>
    <row r="60" spans="1:32" x14ac:dyDescent="0.25">
      <c r="A60" s="21" t="s">
        <v>89</v>
      </c>
      <c r="B60" s="23" t="s">
        <v>350</v>
      </c>
      <c r="D60" s="10">
        <v>0.95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26">
        <v>0</v>
      </c>
      <c r="R60" s="4">
        <f t="shared" si="2"/>
        <v>0</v>
      </c>
      <c r="S60" s="5">
        <f t="shared" si="19"/>
        <v>1.6448536269514715</v>
      </c>
      <c r="T60" s="6">
        <f t="shared" si="20"/>
        <v>0</v>
      </c>
      <c r="U60" s="3">
        <v>1</v>
      </c>
      <c r="V60" s="7">
        <f t="shared" si="3"/>
        <v>0.23076923076923078</v>
      </c>
      <c r="W60" s="18">
        <f t="shared" si="21"/>
        <v>0</v>
      </c>
      <c r="X60" s="19">
        <f t="shared" si="22"/>
        <v>0</v>
      </c>
      <c r="Y60" s="8">
        <f t="shared" si="23"/>
        <v>0</v>
      </c>
      <c r="Z60" s="8">
        <f t="shared" si="24"/>
        <v>0</v>
      </c>
      <c r="AA60" s="9">
        <f t="shared" si="25"/>
        <v>0</v>
      </c>
      <c r="AC60" s="3" t="s">
        <v>554</v>
      </c>
      <c r="AD60" s="3" t="s">
        <v>554</v>
      </c>
      <c r="AE60" s="3" t="s">
        <v>591</v>
      </c>
      <c r="AF60" s="9">
        <f t="shared" si="26"/>
        <v>0</v>
      </c>
    </row>
    <row r="61" spans="1:32" x14ac:dyDescent="0.25">
      <c r="A61" s="22" t="s">
        <v>90</v>
      </c>
      <c r="B61" s="24" t="s">
        <v>351</v>
      </c>
      <c r="D61" s="10">
        <v>0.95</v>
      </c>
      <c r="E61" s="1">
        <v>0</v>
      </c>
      <c r="F61" s="1">
        <v>0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26">
        <v>1</v>
      </c>
      <c r="R61" s="4">
        <f t="shared" si="2"/>
        <v>8.3333333333333329E-2</v>
      </c>
      <c r="S61" s="5">
        <f t="shared" si="19"/>
        <v>1.6448536269514715</v>
      </c>
      <c r="T61" s="6">
        <f t="shared" si="20"/>
        <v>0.28867513459481287</v>
      </c>
      <c r="U61" s="3">
        <v>3</v>
      </c>
      <c r="V61" s="7">
        <f t="shared" si="3"/>
        <v>0.69230769230769229</v>
      </c>
      <c r="W61" s="18">
        <f t="shared" si="21"/>
        <v>1</v>
      </c>
      <c r="X61" s="19">
        <f t="shared" si="22"/>
        <v>0.21227111484578298</v>
      </c>
      <c r="Y61" s="8">
        <f t="shared" si="23"/>
        <v>0</v>
      </c>
      <c r="Z61" s="8">
        <f t="shared" si="24"/>
        <v>1</v>
      </c>
      <c r="AA61" s="9">
        <f t="shared" si="25"/>
        <v>0</v>
      </c>
      <c r="AC61" s="3" t="s">
        <v>554</v>
      </c>
      <c r="AD61" s="3" t="s">
        <v>554</v>
      </c>
      <c r="AE61" s="3" t="s">
        <v>591</v>
      </c>
      <c r="AF61" s="9">
        <f t="shared" si="26"/>
        <v>0</v>
      </c>
    </row>
    <row r="62" spans="1:32" x14ac:dyDescent="0.25">
      <c r="A62" s="21" t="s">
        <v>91</v>
      </c>
      <c r="B62" s="23" t="s">
        <v>352</v>
      </c>
      <c r="D62" s="10">
        <v>0.95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26">
        <v>4</v>
      </c>
      <c r="R62" s="4">
        <f t="shared" si="2"/>
        <v>0.33333333333333331</v>
      </c>
      <c r="S62" s="5">
        <f t="shared" si="19"/>
        <v>1.6448536269514715</v>
      </c>
      <c r="T62" s="6">
        <f t="shared" si="20"/>
        <v>0.6513389472789296</v>
      </c>
      <c r="U62" s="3">
        <v>1</v>
      </c>
      <c r="V62" s="7">
        <f t="shared" si="3"/>
        <v>0.23076923076923078</v>
      </c>
      <c r="W62" s="18">
        <f t="shared" si="21"/>
        <v>1</v>
      </c>
      <c r="X62" s="19">
        <f t="shared" si="22"/>
        <v>0.36817907695617402</v>
      </c>
      <c r="Y62" s="8">
        <f t="shared" si="23"/>
        <v>0</v>
      </c>
      <c r="Z62" s="8">
        <f t="shared" si="24"/>
        <v>1</v>
      </c>
      <c r="AA62" s="9">
        <f t="shared" si="25"/>
        <v>0</v>
      </c>
      <c r="AC62" s="3" t="s">
        <v>554</v>
      </c>
      <c r="AD62" s="3" t="s">
        <v>554</v>
      </c>
      <c r="AE62" s="3" t="s">
        <v>591</v>
      </c>
      <c r="AF62" s="9">
        <f t="shared" si="26"/>
        <v>0</v>
      </c>
    </row>
    <row r="63" spans="1:32" x14ac:dyDescent="0.25">
      <c r="A63" s="22" t="s">
        <v>92</v>
      </c>
      <c r="B63" s="24" t="s">
        <v>353</v>
      </c>
      <c r="D63" s="10">
        <v>0.95</v>
      </c>
      <c r="E63" s="1">
        <v>5</v>
      </c>
      <c r="F63" s="1">
        <v>4</v>
      </c>
      <c r="G63" s="1">
        <v>3</v>
      </c>
      <c r="H63" s="1">
        <v>13</v>
      </c>
      <c r="I63" s="1">
        <v>0</v>
      </c>
      <c r="J63" s="1">
        <v>0</v>
      </c>
      <c r="K63" s="1">
        <v>3</v>
      </c>
      <c r="L63" s="1">
        <v>0</v>
      </c>
      <c r="M63" s="1">
        <v>0</v>
      </c>
      <c r="N63" s="1">
        <v>0</v>
      </c>
      <c r="O63" s="1">
        <v>8</v>
      </c>
      <c r="P63" s="1">
        <v>0</v>
      </c>
      <c r="Q63" s="26">
        <v>36</v>
      </c>
      <c r="R63" s="4">
        <f t="shared" si="2"/>
        <v>3</v>
      </c>
      <c r="S63" s="5">
        <f t="shared" si="19"/>
        <v>1.6448536269514715</v>
      </c>
      <c r="T63" s="6">
        <f t="shared" si="20"/>
        <v>4.0898988651643604</v>
      </c>
      <c r="U63" s="3">
        <v>1</v>
      </c>
      <c r="V63" s="7">
        <f t="shared" si="3"/>
        <v>0.23076923076923078</v>
      </c>
      <c r="W63" s="18">
        <f t="shared" si="21"/>
        <v>4</v>
      </c>
      <c r="X63" s="19">
        <f t="shared" si="22"/>
        <v>2.7677898975817001</v>
      </c>
      <c r="Y63" s="25">
        <f t="shared" si="23"/>
        <v>3</v>
      </c>
      <c r="Z63" s="25">
        <f t="shared" si="24"/>
        <v>7</v>
      </c>
      <c r="AA63" s="9">
        <f t="shared" si="25"/>
        <v>0</v>
      </c>
      <c r="AC63" s="3" t="s">
        <v>557</v>
      </c>
      <c r="AD63" s="3" t="s">
        <v>564</v>
      </c>
      <c r="AE63" s="3" t="s">
        <v>573</v>
      </c>
      <c r="AF63" s="9">
        <f t="shared" si="26"/>
        <v>0</v>
      </c>
    </row>
    <row r="64" spans="1:32" x14ac:dyDescent="0.25">
      <c r="A64" s="21" t="s">
        <v>93</v>
      </c>
      <c r="B64" s="23" t="s">
        <v>354</v>
      </c>
      <c r="D64" s="10">
        <v>0.95</v>
      </c>
      <c r="E64" s="1">
        <v>0</v>
      </c>
      <c r="F64" s="1">
        <v>0</v>
      </c>
      <c r="G64" s="1">
        <v>4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26">
        <v>4</v>
      </c>
      <c r="R64" s="4">
        <f t="shared" si="2"/>
        <v>0.33333333333333331</v>
      </c>
      <c r="S64" s="5">
        <f t="shared" si="19"/>
        <v>1.6448536269514715</v>
      </c>
      <c r="T64" s="6">
        <f t="shared" si="20"/>
        <v>1.1547005383792515</v>
      </c>
      <c r="U64" s="3">
        <v>3</v>
      </c>
      <c r="V64" s="7">
        <f t="shared" si="3"/>
        <v>0.69230769230769229</v>
      </c>
      <c r="W64" s="18">
        <f t="shared" si="21"/>
        <v>2</v>
      </c>
      <c r="X64" s="19">
        <f t="shared" si="22"/>
        <v>0.84908445938313193</v>
      </c>
      <c r="Y64" s="25">
        <f t="shared" si="23"/>
        <v>1</v>
      </c>
      <c r="Z64" s="25">
        <f t="shared" si="24"/>
        <v>3</v>
      </c>
      <c r="AA64" s="9">
        <f t="shared" si="25"/>
        <v>0</v>
      </c>
      <c r="AC64" s="3" t="s">
        <v>554</v>
      </c>
      <c r="AD64" s="3" t="s">
        <v>554</v>
      </c>
      <c r="AE64" s="3" t="s">
        <v>591</v>
      </c>
      <c r="AF64" s="9">
        <f t="shared" si="26"/>
        <v>0</v>
      </c>
    </row>
    <row r="65" spans="1:32" x14ac:dyDescent="0.25">
      <c r="A65" s="22" t="s">
        <v>94</v>
      </c>
      <c r="B65" s="24" t="s">
        <v>355</v>
      </c>
      <c r="D65" s="10">
        <v>0.95</v>
      </c>
      <c r="E65" s="1">
        <v>18</v>
      </c>
      <c r="F65" s="1">
        <v>5</v>
      </c>
      <c r="G65" s="1">
        <v>0</v>
      </c>
      <c r="H65" s="1">
        <v>7</v>
      </c>
      <c r="I65" s="1">
        <v>16</v>
      </c>
      <c r="J65" s="1">
        <v>9</v>
      </c>
      <c r="K65" s="1">
        <v>0</v>
      </c>
      <c r="L65" s="1">
        <v>0</v>
      </c>
      <c r="M65" s="1">
        <v>1</v>
      </c>
      <c r="N65" s="1">
        <v>14</v>
      </c>
      <c r="O65" s="1">
        <v>7</v>
      </c>
      <c r="P65" s="1">
        <v>12</v>
      </c>
      <c r="Q65" s="26">
        <v>89</v>
      </c>
      <c r="R65" s="4">
        <f t="shared" si="2"/>
        <v>7.416666666666667</v>
      </c>
      <c r="S65" s="5">
        <f t="shared" si="19"/>
        <v>1.6448536269514715</v>
      </c>
      <c r="T65" s="6">
        <f t="shared" si="20"/>
        <v>6.5011653966924658</v>
      </c>
      <c r="U65" s="3">
        <v>1</v>
      </c>
      <c r="V65" s="7">
        <f t="shared" si="3"/>
        <v>0.23076923076923078</v>
      </c>
      <c r="W65" s="18">
        <f t="shared" si="21"/>
        <v>6</v>
      </c>
      <c r="X65" s="19">
        <f t="shared" si="22"/>
        <v>5.4867629310286894</v>
      </c>
      <c r="Y65" s="25">
        <f t="shared" si="23"/>
        <v>7</v>
      </c>
      <c r="Z65" s="25">
        <f t="shared" si="24"/>
        <v>13</v>
      </c>
      <c r="AA65" s="9">
        <f t="shared" si="25"/>
        <v>0</v>
      </c>
      <c r="AC65" s="3" t="s">
        <v>564</v>
      </c>
      <c r="AD65" s="3" t="s">
        <v>572</v>
      </c>
      <c r="AE65" s="3" t="s">
        <v>587</v>
      </c>
      <c r="AF65" s="9">
        <f t="shared" si="26"/>
        <v>0</v>
      </c>
    </row>
    <row r="66" spans="1:32" x14ac:dyDescent="0.25">
      <c r="A66" s="21" t="s">
        <v>95</v>
      </c>
      <c r="B66" s="23" t="s">
        <v>356</v>
      </c>
      <c r="D66" s="10">
        <v>0.95</v>
      </c>
      <c r="E66" s="1">
        <v>60</v>
      </c>
      <c r="F66" s="1">
        <v>36</v>
      </c>
      <c r="G66" s="1">
        <v>28</v>
      </c>
      <c r="H66" s="1">
        <v>41</v>
      </c>
      <c r="I66" s="1">
        <v>40</v>
      </c>
      <c r="J66" s="1">
        <v>39</v>
      </c>
      <c r="K66" s="1">
        <v>25</v>
      </c>
      <c r="L66" s="1">
        <v>24</v>
      </c>
      <c r="M66" s="1">
        <v>11</v>
      </c>
      <c r="N66" s="1">
        <v>23</v>
      </c>
      <c r="O66" s="1">
        <v>27</v>
      </c>
      <c r="P66" s="1">
        <v>32</v>
      </c>
      <c r="Q66" s="26">
        <v>386</v>
      </c>
      <c r="R66" s="4">
        <f t="shared" si="2"/>
        <v>32.166666666666664</v>
      </c>
      <c r="S66" s="5">
        <f t="shared" si="19"/>
        <v>1.6448536269514715</v>
      </c>
      <c r="T66" s="6">
        <f t="shared" si="20"/>
        <v>12.320222351397669</v>
      </c>
      <c r="U66" s="3">
        <v>1</v>
      </c>
      <c r="V66" s="7">
        <f t="shared" si="3"/>
        <v>0.23076923076923078</v>
      </c>
      <c r="W66" s="18">
        <f t="shared" si="21"/>
        <v>10</v>
      </c>
      <c r="X66" s="19">
        <f t="shared" si="22"/>
        <v>15.729992308441098</v>
      </c>
      <c r="Y66" s="8">
        <f t="shared" si="23"/>
        <v>23</v>
      </c>
      <c r="Z66" s="8">
        <f t="shared" si="24"/>
        <v>33</v>
      </c>
      <c r="AA66" s="9">
        <f t="shared" si="25"/>
        <v>0</v>
      </c>
      <c r="AC66" s="3" t="s">
        <v>565</v>
      </c>
      <c r="AD66" s="3" t="s">
        <v>562</v>
      </c>
      <c r="AE66" s="3" t="s">
        <v>563</v>
      </c>
      <c r="AF66" s="9">
        <f t="shared" si="26"/>
        <v>0</v>
      </c>
    </row>
    <row r="67" spans="1:32" x14ac:dyDescent="0.25">
      <c r="A67" s="22" t="s">
        <v>96</v>
      </c>
      <c r="B67" s="24" t="s">
        <v>357</v>
      </c>
      <c r="D67" s="10">
        <v>0.95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26">
        <v>0</v>
      </c>
      <c r="R67" s="4">
        <f t="shared" ref="R67:R130" si="27">Q67/12</f>
        <v>0</v>
      </c>
      <c r="S67" s="5">
        <f t="shared" si="19"/>
        <v>1.6448536269514715</v>
      </c>
      <c r="T67" s="6">
        <f t="shared" si="20"/>
        <v>0</v>
      </c>
      <c r="U67" s="3">
        <v>1</v>
      </c>
      <c r="V67" s="7">
        <f t="shared" ref="V67:V130" si="28">U67/52*12</f>
        <v>0.23076923076923078</v>
      </c>
      <c r="W67" s="18">
        <f t="shared" si="21"/>
        <v>0</v>
      </c>
      <c r="X67" s="19">
        <f t="shared" si="22"/>
        <v>0</v>
      </c>
      <c r="Y67" s="8">
        <f t="shared" si="23"/>
        <v>0</v>
      </c>
      <c r="Z67" s="8">
        <f t="shared" si="24"/>
        <v>0</v>
      </c>
      <c r="AA67" s="9">
        <f t="shared" si="25"/>
        <v>0</v>
      </c>
      <c r="AC67" s="3" t="s">
        <v>554</v>
      </c>
      <c r="AD67" s="3" t="s">
        <v>554</v>
      </c>
      <c r="AE67" s="3" t="s">
        <v>591</v>
      </c>
      <c r="AF67" s="9">
        <f t="shared" si="26"/>
        <v>0</v>
      </c>
    </row>
    <row r="68" spans="1:32" x14ac:dyDescent="0.25">
      <c r="A68" s="21" t="s">
        <v>97</v>
      </c>
      <c r="B68" s="23" t="s">
        <v>358</v>
      </c>
      <c r="D68" s="10">
        <v>0.95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26">
        <v>0</v>
      </c>
      <c r="R68" s="4">
        <f t="shared" si="27"/>
        <v>0</v>
      </c>
      <c r="S68" s="5">
        <f t="shared" si="19"/>
        <v>1.6448536269514715</v>
      </c>
      <c r="T68" s="6">
        <f t="shared" si="20"/>
        <v>0</v>
      </c>
      <c r="U68" s="3">
        <v>1</v>
      </c>
      <c r="V68" s="7">
        <f t="shared" si="28"/>
        <v>0.23076923076923078</v>
      </c>
      <c r="W68" s="18">
        <f t="shared" si="21"/>
        <v>0</v>
      </c>
      <c r="X68" s="19">
        <f t="shared" si="22"/>
        <v>0</v>
      </c>
      <c r="Y68" s="8">
        <f t="shared" si="23"/>
        <v>0</v>
      </c>
      <c r="Z68" s="8">
        <f t="shared" si="24"/>
        <v>0</v>
      </c>
      <c r="AA68" s="9">
        <f t="shared" si="25"/>
        <v>0</v>
      </c>
      <c r="AC68" s="3" t="s">
        <v>554</v>
      </c>
      <c r="AD68" s="3" t="s">
        <v>554</v>
      </c>
      <c r="AE68" s="3" t="s">
        <v>573</v>
      </c>
      <c r="AF68" s="9">
        <f t="shared" si="26"/>
        <v>0</v>
      </c>
    </row>
    <row r="69" spans="1:32" x14ac:dyDescent="0.25">
      <c r="A69" s="22" t="s">
        <v>98</v>
      </c>
      <c r="B69" s="24" t="s">
        <v>359</v>
      </c>
      <c r="D69" s="10">
        <v>0.95</v>
      </c>
      <c r="E69" s="1">
        <v>41</v>
      </c>
      <c r="F69" s="1">
        <v>68</v>
      </c>
      <c r="G69" s="1">
        <v>37</v>
      </c>
      <c r="H69" s="1">
        <v>16</v>
      </c>
      <c r="I69" s="1">
        <v>17</v>
      </c>
      <c r="J69" s="1">
        <v>39</v>
      </c>
      <c r="K69" s="1">
        <v>22</v>
      </c>
      <c r="L69" s="1">
        <v>17</v>
      </c>
      <c r="M69" s="1">
        <v>23</v>
      </c>
      <c r="N69" s="1">
        <v>12</v>
      </c>
      <c r="O69" s="1">
        <v>32</v>
      </c>
      <c r="P69" s="1">
        <v>59</v>
      </c>
      <c r="Q69" s="26">
        <v>383</v>
      </c>
      <c r="R69" s="4">
        <f t="shared" si="27"/>
        <v>31.916666666666668</v>
      </c>
      <c r="S69" s="5">
        <f t="shared" si="19"/>
        <v>1.6448536269514715</v>
      </c>
      <c r="T69" s="6">
        <f t="shared" si="20"/>
        <v>17.753147394877406</v>
      </c>
      <c r="U69" s="3">
        <v>1</v>
      </c>
      <c r="V69" s="7">
        <f t="shared" si="28"/>
        <v>0.23076923076923078</v>
      </c>
      <c r="W69" s="18">
        <f t="shared" si="21"/>
        <v>15</v>
      </c>
      <c r="X69" s="19">
        <f t="shared" si="22"/>
        <v>18.80886768675882</v>
      </c>
      <c r="Y69" s="25">
        <f t="shared" si="23"/>
        <v>26</v>
      </c>
      <c r="Z69" s="25">
        <f t="shared" si="24"/>
        <v>41</v>
      </c>
      <c r="AA69" s="9">
        <f t="shared" si="25"/>
        <v>0</v>
      </c>
      <c r="AC69" s="3" t="s">
        <v>566</v>
      </c>
      <c r="AD69" s="3" t="s">
        <v>584</v>
      </c>
      <c r="AE69" s="3" t="s">
        <v>569</v>
      </c>
      <c r="AF69" s="9">
        <f t="shared" si="26"/>
        <v>0</v>
      </c>
    </row>
    <row r="70" spans="1:32" x14ac:dyDescent="0.25">
      <c r="A70" s="21" t="s">
        <v>99</v>
      </c>
      <c r="B70" s="23" t="s">
        <v>360</v>
      </c>
      <c r="D70" s="10">
        <v>0.95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26">
        <v>0</v>
      </c>
      <c r="R70" s="4">
        <f t="shared" si="27"/>
        <v>0</v>
      </c>
      <c r="S70" s="5">
        <f t="shared" si="19"/>
        <v>1.6448536269514715</v>
      </c>
      <c r="T70" s="6">
        <f t="shared" si="20"/>
        <v>0</v>
      </c>
      <c r="U70" s="3">
        <v>1</v>
      </c>
      <c r="V70" s="7">
        <f t="shared" si="28"/>
        <v>0.23076923076923078</v>
      </c>
      <c r="W70" s="18">
        <f t="shared" si="21"/>
        <v>0</v>
      </c>
      <c r="X70" s="19">
        <f t="shared" si="22"/>
        <v>0</v>
      </c>
      <c r="Y70" s="8">
        <f t="shared" si="23"/>
        <v>0</v>
      </c>
      <c r="Z70" s="8">
        <f t="shared" si="24"/>
        <v>0</v>
      </c>
      <c r="AA70" s="9">
        <f t="shared" si="25"/>
        <v>0</v>
      </c>
      <c r="AC70" s="3" t="s">
        <v>554</v>
      </c>
      <c r="AD70" s="3" t="s">
        <v>554</v>
      </c>
      <c r="AE70" s="3" t="s">
        <v>591</v>
      </c>
      <c r="AF70" s="9">
        <f t="shared" si="26"/>
        <v>0</v>
      </c>
    </row>
    <row r="71" spans="1:32" x14ac:dyDescent="0.25">
      <c r="A71" s="22" t="s">
        <v>100</v>
      </c>
      <c r="B71" s="24" t="s">
        <v>361</v>
      </c>
      <c r="D71" s="10">
        <v>0.95</v>
      </c>
      <c r="E71" s="1">
        <v>47</v>
      </c>
      <c r="F71" s="1">
        <v>46</v>
      </c>
      <c r="G71" s="1">
        <v>32</v>
      </c>
      <c r="H71" s="1">
        <v>38</v>
      </c>
      <c r="I71" s="1">
        <v>72</v>
      </c>
      <c r="J71" s="1">
        <v>54</v>
      </c>
      <c r="K71" s="1">
        <v>45</v>
      </c>
      <c r="L71" s="1">
        <v>53</v>
      </c>
      <c r="M71" s="1">
        <v>30</v>
      </c>
      <c r="N71" s="1">
        <v>131</v>
      </c>
      <c r="O71" s="1">
        <v>45</v>
      </c>
      <c r="P71" s="1">
        <v>60</v>
      </c>
      <c r="Q71" s="26">
        <v>653</v>
      </c>
      <c r="R71" s="4">
        <f t="shared" si="27"/>
        <v>54.416666666666664</v>
      </c>
      <c r="S71" s="5">
        <f t="shared" si="19"/>
        <v>1.6448536269514715</v>
      </c>
      <c r="T71" s="6">
        <f t="shared" si="20"/>
        <v>26.763130450587266</v>
      </c>
      <c r="U71" s="3">
        <v>1</v>
      </c>
      <c r="V71" s="7">
        <f t="shared" si="28"/>
        <v>0.23076923076923078</v>
      </c>
      <c r="W71" s="18">
        <f t="shared" si="21"/>
        <v>22</v>
      </c>
      <c r="X71" s="19">
        <f t="shared" si="22"/>
        <v>30.154395807341455</v>
      </c>
      <c r="Y71" s="25">
        <f t="shared" si="23"/>
        <v>43</v>
      </c>
      <c r="Z71" s="25">
        <f t="shared" si="24"/>
        <v>65</v>
      </c>
      <c r="AA71" s="9">
        <f t="shared" si="25"/>
        <v>0</v>
      </c>
      <c r="AC71" s="3" t="s">
        <v>563</v>
      </c>
      <c r="AD71" s="3" t="s">
        <v>585</v>
      </c>
      <c r="AE71" s="3" t="s">
        <v>596</v>
      </c>
      <c r="AF71" s="9">
        <f t="shared" si="26"/>
        <v>0</v>
      </c>
    </row>
    <row r="72" spans="1:32" x14ac:dyDescent="0.25">
      <c r="A72" s="21" t="s">
        <v>101</v>
      </c>
      <c r="B72" s="23" t="s">
        <v>362</v>
      </c>
      <c r="D72" s="10">
        <v>0.95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26">
        <v>0</v>
      </c>
      <c r="R72" s="4">
        <f t="shared" si="27"/>
        <v>0</v>
      </c>
      <c r="S72" s="5">
        <f t="shared" si="19"/>
        <v>1.6448536269514715</v>
      </c>
      <c r="T72" s="6">
        <f t="shared" si="20"/>
        <v>0</v>
      </c>
      <c r="U72" s="3">
        <v>1</v>
      </c>
      <c r="V72" s="7">
        <f t="shared" si="28"/>
        <v>0.23076923076923078</v>
      </c>
      <c r="W72" s="18">
        <f t="shared" si="21"/>
        <v>0</v>
      </c>
      <c r="X72" s="19">
        <f t="shared" si="22"/>
        <v>0</v>
      </c>
      <c r="Y72" s="8">
        <f t="shared" si="23"/>
        <v>0</v>
      </c>
      <c r="Z72" s="8">
        <f t="shared" si="24"/>
        <v>0</v>
      </c>
      <c r="AA72" s="9">
        <f t="shared" si="25"/>
        <v>0</v>
      </c>
      <c r="AC72" s="3" t="s">
        <v>554</v>
      </c>
      <c r="AD72" s="3" t="s">
        <v>554</v>
      </c>
      <c r="AE72" s="3" t="s">
        <v>591</v>
      </c>
      <c r="AF72" s="9">
        <f t="shared" si="26"/>
        <v>0</v>
      </c>
    </row>
    <row r="73" spans="1:32" x14ac:dyDescent="0.25">
      <c r="A73" s="22" t="s">
        <v>102</v>
      </c>
      <c r="B73" s="24" t="s">
        <v>363</v>
      </c>
      <c r="D73" s="10">
        <v>0.95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26">
        <v>0</v>
      </c>
      <c r="R73" s="4">
        <f t="shared" si="27"/>
        <v>0</v>
      </c>
      <c r="S73" s="5">
        <f t="shared" si="19"/>
        <v>1.6448536269514715</v>
      </c>
      <c r="T73" s="6">
        <f t="shared" si="20"/>
        <v>0</v>
      </c>
      <c r="U73" s="3">
        <v>1</v>
      </c>
      <c r="V73" s="7">
        <f t="shared" si="28"/>
        <v>0.23076923076923078</v>
      </c>
      <c r="W73" s="18">
        <f t="shared" si="21"/>
        <v>0</v>
      </c>
      <c r="X73" s="19">
        <f t="shared" si="22"/>
        <v>0</v>
      </c>
      <c r="Y73" s="8">
        <f t="shared" si="23"/>
        <v>0</v>
      </c>
      <c r="Z73" s="8">
        <f t="shared" si="24"/>
        <v>0</v>
      </c>
      <c r="AA73" s="9">
        <f t="shared" si="25"/>
        <v>0</v>
      </c>
      <c r="AC73" s="3" t="s">
        <v>554</v>
      </c>
      <c r="AD73" s="3" t="s">
        <v>554</v>
      </c>
      <c r="AE73" s="3" t="s">
        <v>591</v>
      </c>
      <c r="AF73" s="9">
        <f t="shared" si="26"/>
        <v>0</v>
      </c>
    </row>
    <row r="74" spans="1:32" x14ac:dyDescent="0.25">
      <c r="A74" s="21" t="s">
        <v>103</v>
      </c>
      <c r="B74" s="23" t="s">
        <v>364</v>
      </c>
      <c r="D74" s="10">
        <v>0.95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26">
        <v>1</v>
      </c>
      <c r="R74" s="4">
        <f t="shared" si="27"/>
        <v>8.3333333333333329E-2</v>
      </c>
      <c r="S74" s="5">
        <f t="shared" si="19"/>
        <v>1.6448536269514715</v>
      </c>
      <c r="T74" s="6">
        <f t="shared" si="20"/>
        <v>0.28867513459481287</v>
      </c>
      <c r="U74" s="3">
        <v>1</v>
      </c>
      <c r="V74" s="7">
        <f t="shared" si="28"/>
        <v>0.23076923076923078</v>
      </c>
      <c r="W74" s="18">
        <f t="shared" si="21"/>
        <v>1</v>
      </c>
      <c r="X74" s="19">
        <f t="shared" si="22"/>
        <v>0.12255478529739477</v>
      </c>
      <c r="Y74" s="8">
        <f t="shared" si="23"/>
        <v>0</v>
      </c>
      <c r="Z74" s="8">
        <f t="shared" si="24"/>
        <v>1</v>
      </c>
      <c r="AA74" s="9">
        <f t="shared" si="25"/>
        <v>0</v>
      </c>
      <c r="AC74" s="3" t="s">
        <v>554</v>
      </c>
      <c r="AD74" s="3" t="s">
        <v>554</v>
      </c>
      <c r="AE74" s="3" t="s">
        <v>591</v>
      </c>
      <c r="AF74" s="9">
        <f t="shared" si="26"/>
        <v>0</v>
      </c>
    </row>
    <row r="75" spans="1:32" x14ac:dyDescent="0.25">
      <c r="A75" s="22" t="s">
        <v>104</v>
      </c>
      <c r="B75" s="24" t="s">
        <v>365</v>
      </c>
      <c r="D75" s="10">
        <v>0.95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26">
        <v>0</v>
      </c>
      <c r="R75" s="4">
        <f t="shared" si="27"/>
        <v>0</v>
      </c>
      <c r="S75" s="5">
        <f t="shared" si="19"/>
        <v>1.6448536269514715</v>
      </c>
      <c r="T75" s="6">
        <f t="shared" si="20"/>
        <v>0</v>
      </c>
      <c r="U75" s="3">
        <v>1</v>
      </c>
      <c r="V75" s="7">
        <f t="shared" si="28"/>
        <v>0.23076923076923078</v>
      </c>
      <c r="W75" s="18">
        <f t="shared" si="21"/>
        <v>0</v>
      </c>
      <c r="X75" s="19">
        <f t="shared" si="22"/>
        <v>0</v>
      </c>
      <c r="Y75" s="8">
        <f t="shared" si="23"/>
        <v>0</v>
      </c>
      <c r="Z75" s="8">
        <f t="shared" si="24"/>
        <v>0</v>
      </c>
      <c r="AA75" s="9">
        <f t="shared" si="25"/>
        <v>0</v>
      </c>
      <c r="AC75" s="3" t="s">
        <v>554</v>
      </c>
      <c r="AD75" s="3" t="s">
        <v>554</v>
      </c>
      <c r="AE75" s="3" t="s">
        <v>591</v>
      </c>
      <c r="AF75" s="9">
        <f t="shared" si="26"/>
        <v>0</v>
      </c>
    </row>
    <row r="76" spans="1:32" x14ac:dyDescent="0.25">
      <c r="A76" s="21" t="s">
        <v>105</v>
      </c>
      <c r="B76" s="23" t="s">
        <v>366</v>
      </c>
      <c r="D76" s="10">
        <v>0.95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26">
        <v>0</v>
      </c>
      <c r="R76" s="4">
        <f t="shared" si="27"/>
        <v>0</v>
      </c>
      <c r="S76" s="5">
        <f t="shared" si="19"/>
        <v>1.6448536269514715</v>
      </c>
      <c r="T76" s="6">
        <f t="shared" si="20"/>
        <v>0</v>
      </c>
      <c r="U76" s="3">
        <v>1</v>
      </c>
      <c r="V76" s="7">
        <f t="shared" si="28"/>
        <v>0.23076923076923078</v>
      </c>
      <c r="W76" s="18">
        <f t="shared" si="21"/>
        <v>0</v>
      </c>
      <c r="X76" s="19">
        <f t="shared" si="22"/>
        <v>0</v>
      </c>
      <c r="Y76" s="8">
        <f t="shared" si="23"/>
        <v>0</v>
      </c>
      <c r="Z76" s="8">
        <f t="shared" si="24"/>
        <v>0</v>
      </c>
      <c r="AA76" s="9">
        <f t="shared" si="25"/>
        <v>0</v>
      </c>
      <c r="AC76" s="3" t="s">
        <v>554</v>
      </c>
      <c r="AD76" s="3" t="s">
        <v>554</v>
      </c>
      <c r="AE76" s="3" t="s">
        <v>591</v>
      </c>
      <c r="AF76" s="9">
        <f t="shared" si="26"/>
        <v>0</v>
      </c>
    </row>
    <row r="77" spans="1:32" x14ac:dyDescent="0.25">
      <c r="A77" s="22" t="s">
        <v>106</v>
      </c>
      <c r="B77" s="24" t="s">
        <v>367</v>
      </c>
      <c r="D77" s="10">
        <v>0.95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26">
        <v>0</v>
      </c>
      <c r="R77" s="4">
        <f t="shared" si="27"/>
        <v>0</v>
      </c>
      <c r="S77" s="5">
        <f t="shared" si="19"/>
        <v>1.6448536269514715</v>
      </c>
      <c r="T77" s="6">
        <f t="shared" si="20"/>
        <v>0</v>
      </c>
      <c r="U77" s="3">
        <v>1</v>
      </c>
      <c r="V77" s="7">
        <f t="shared" si="28"/>
        <v>0.23076923076923078</v>
      </c>
      <c r="W77" s="18">
        <f t="shared" si="21"/>
        <v>0</v>
      </c>
      <c r="X77" s="19">
        <f t="shared" si="22"/>
        <v>0</v>
      </c>
      <c r="Y77" s="8">
        <f t="shared" si="23"/>
        <v>0</v>
      </c>
      <c r="Z77" s="8">
        <f t="shared" si="24"/>
        <v>0</v>
      </c>
      <c r="AA77" s="9">
        <f t="shared" si="25"/>
        <v>0</v>
      </c>
      <c r="AC77" s="3" t="s">
        <v>554</v>
      </c>
      <c r="AD77" s="3" t="s">
        <v>554</v>
      </c>
      <c r="AE77" s="3" t="s">
        <v>591</v>
      </c>
      <c r="AF77" s="9">
        <f t="shared" si="26"/>
        <v>0</v>
      </c>
    </row>
    <row r="78" spans="1:32" x14ac:dyDescent="0.25">
      <c r="A78" s="21" t="s">
        <v>107</v>
      </c>
      <c r="B78" s="23" t="s">
        <v>368</v>
      </c>
      <c r="D78" s="10">
        <v>0.95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26">
        <v>0</v>
      </c>
      <c r="R78" s="4">
        <f t="shared" si="27"/>
        <v>0</v>
      </c>
      <c r="S78" s="5">
        <f t="shared" si="19"/>
        <v>1.6448536269514715</v>
      </c>
      <c r="T78" s="6">
        <f t="shared" si="20"/>
        <v>0</v>
      </c>
      <c r="U78" s="3">
        <v>1</v>
      </c>
      <c r="V78" s="7">
        <f t="shared" si="28"/>
        <v>0.23076923076923078</v>
      </c>
      <c r="W78" s="18">
        <f t="shared" si="21"/>
        <v>0</v>
      </c>
      <c r="X78" s="19">
        <f t="shared" si="22"/>
        <v>0</v>
      </c>
      <c r="Y78" s="8">
        <f t="shared" si="23"/>
        <v>0</v>
      </c>
      <c r="Z78" s="8">
        <f t="shared" si="24"/>
        <v>0</v>
      </c>
      <c r="AA78" s="9">
        <f t="shared" si="25"/>
        <v>0</v>
      </c>
      <c r="AC78" s="3" t="s">
        <v>554</v>
      </c>
      <c r="AD78" s="3" t="s">
        <v>554</v>
      </c>
      <c r="AE78" s="3" t="s">
        <v>591</v>
      </c>
      <c r="AF78" s="9">
        <f t="shared" si="26"/>
        <v>0</v>
      </c>
    </row>
    <row r="79" spans="1:32" x14ac:dyDescent="0.25">
      <c r="A79" s="22" t="s">
        <v>108</v>
      </c>
      <c r="B79" s="24" t="s">
        <v>369</v>
      </c>
      <c r="D79" s="10">
        <v>0.95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26">
        <v>0</v>
      </c>
      <c r="R79" s="4">
        <f t="shared" si="27"/>
        <v>0</v>
      </c>
      <c r="S79" s="5">
        <f t="shared" si="19"/>
        <v>1.6448536269514715</v>
      </c>
      <c r="T79" s="6">
        <f t="shared" si="20"/>
        <v>0</v>
      </c>
      <c r="U79" s="3">
        <v>1</v>
      </c>
      <c r="V79" s="7">
        <f t="shared" si="28"/>
        <v>0.23076923076923078</v>
      </c>
      <c r="W79" s="18">
        <f t="shared" si="21"/>
        <v>0</v>
      </c>
      <c r="X79" s="19">
        <f t="shared" si="22"/>
        <v>0</v>
      </c>
      <c r="Y79" s="8">
        <f t="shared" si="23"/>
        <v>0</v>
      </c>
      <c r="Z79" s="8">
        <f t="shared" si="24"/>
        <v>0</v>
      </c>
      <c r="AA79" s="9">
        <f t="shared" si="25"/>
        <v>0</v>
      </c>
      <c r="AC79" s="3" t="s">
        <v>554</v>
      </c>
      <c r="AD79" s="3" t="s">
        <v>554</v>
      </c>
      <c r="AE79" s="3" t="s">
        <v>591</v>
      </c>
      <c r="AF79" s="9">
        <f t="shared" si="26"/>
        <v>0</v>
      </c>
    </row>
    <row r="80" spans="1:32" x14ac:dyDescent="0.25">
      <c r="A80" s="21" t="s">
        <v>109</v>
      </c>
      <c r="B80" s="23" t="s">
        <v>370</v>
      </c>
      <c r="D80" s="10">
        <v>0.95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1</v>
      </c>
      <c r="O80" s="1">
        <v>2</v>
      </c>
      <c r="P80" s="1">
        <v>0</v>
      </c>
      <c r="Q80" s="26">
        <v>4</v>
      </c>
      <c r="R80" s="4">
        <f t="shared" si="27"/>
        <v>0.33333333333333331</v>
      </c>
      <c r="S80" s="5">
        <f t="shared" si="19"/>
        <v>1.6448536269514715</v>
      </c>
      <c r="T80" s="6">
        <f t="shared" si="20"/>
        <v>0.6513389472789296</v>
      </c>
      <c r="U80" s="3">
        <v>1</v>
      </c>
      <c r="V80" s="7">
        <f t="shared" si="28"/>
        <v>0.23076923076923078</v>
      </c>
      <c r="W80" s="18">
        <f t="shared" si="21"/>
        <v>1</v>
      </c>
      <c r="X80" s="19">
        <f t="shared" si="22"/>
        <v>0.36817907695617402</v>
      </c>
      <c r="Y80" s="8">
        <f t="shared" si="23"/>
        <v>0</v>
      </c>
      <c r="Z80" s="8">
        <f t="shared" si="24"/>
        <v>1</v>
      </c>
      <c r="AA80" s="9">
        <f t="shared" si="25"/>
        <v>0</v>
      </c>
      <c r="AC80" s="3" t="s">
        <v>554</v>
      </c>
      <c r="AD80" s="3" t="s">
        <v>554</v>
      </c>
      <c r="AE80" s="3" t="s">
        <v>591</v>
      </c>
      <c r="AF80" s="9">
        <f t="shared" si="26"/>
        <v>0</v>
      </c>
    </row>
    <row r="81" spans="1:32" x14ac:dyDescent="0.25">
      <c r="A81" s="22" t="s">
        <v>110</v>
      </c>
      <c r="B81" s="24" t="s">
        <v>371</v>
      </c>
      <c r="D81" s="10">
        <v>0.95</v>
      </c>
      <c r="E81" s="1">
        <v>0</v>
      </c>
      <c r="F81" s="1">
        <v>0</v>
      </c>
      <c r="G81" s="1">
        <v>2</v>
      </c>
      <c r="H81" s="1">
        <v>2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26">
        <v>4</v>
      </c>
      <c r="R81" s="4">
        <f t="shared" si="27"/>
        <v>0.33333333333333331</v>
      </c>
      <c r="S81" s="5">
        <f t="shared" si="19"/>
        <v>1.6448536269514715</v>
      </c>
      <c r="T81" s="6">
        <f t="shared" si="20"/>
        <v>0.77849894416152299</v>
      </c>
      <c r="U81" s="3">
        <v>1</v>
      </c>
      <c r="V81" s="7">
        <f t="shared" si="28"/>
        <v>0.23076923076923078</v>
      </c>
      <c r="W81" s="18">
        <f t="shared" si="21"/>
        <v>1</v>
      </c>
      <c r="X81" s="19">
        <f t="shared" si="22"/>
        <v>0.40251734051479998</v>
      </c>
      <c r="Y81" s="8">
        <f t="shared" si="23"/>
        <v>0</v>
      </c>
      <c r="Z81" s="8">
        <f t="shared" si="24"/>
        <v>1</v>
      </c>
      <c r="AA81" s="9">
        <f t="shared" si="25"/>
        <v>0</v>
      </c>
      <c r="AC81" s="3" t="s">
        <v>554</v>
      </c>
      <c r="AD81" s="3" t="s">
        <v>554</v>
      </c>
      <c r="AE81" s="3" t="s">
        <v>591</v>
      </c>
      <c r="AF81" s="9">
        <f t="shared" si="26"/>
        <v>0</v>
      </c>
    </row>
    <row r="82" spans="1:32" x14ac:dyDescent="0.25">
      <c r="A82" s="21" t="s">
        <v>111</v>
      </c>
      <c r="B82" s="23" t="s">
        <v>372</v>
      </c>
      <c r="D82" s="10">
        <v>0.95</v>
      </c>
      <c r="E82" s="1">
        <v>2</v>
      </c>
      <c r="F82" s="1">
        <v>14</v>
      </c>
      <c r="G82" s="1">
        <v>0</v>
      </c>
      <c r="H82" s="1">
        <v>1</v>
      </c>
      <c r="I82" s="1">
        <v>3</v>
      </c>
      <c r="J82" s="1">
        <v>7</v>
      </c>
      <c r="K82" s="1">
        <v>0</v>
      </c>
      <c r="L82" s="1">
        <v>0</v>
      </c>
      <c r="M82" s="1">
        <v>2</v>
      </c>
      <c r="N82" s="1">
        <v>5</v>
      </c>
      <c r="O82" s="1">
        <v>6</v>
      </c>
      <c r="P82" s="1">
        <v>7</v>
      </c>
      <c r="Q82" s="26">
        <v>47</v>
      </c>
      <c r="R82" s="4">
        <f t="shared" si="27"/>
        <v>3.9166666666666665</v>
      </c>
      <c r="S82" s="5">
        <f t="shared" si="19"/>
        <v>1.6448536269514715</v>
      </c>
      <c r="T82" s="6">
        <f t="shared" si="20"/>
        <v>4.1441817556958602</v>
      </c>
      <c r="U82" s="3">
        <v>1</v>
      </c>
      <c r="V82" s="7">
        <f t="shared" si="28"/>
        <v>0.23076923076923078</v>
      </c>
      <c r="W82" s="18">
        <f t="shared" si="21"/>
        <v>4</v>
      </c>
      <c r="X82" s="19">
        <f t="shared" si="22"/>
        <v>3.1834197855696074</v>
      </c>
      <c r="Y82" s="25">
        <f t="shared" si="23"/>
        <v>4</v>
      </c>
      <c r="Z82" s="25">
        <f t="shared" si="24"/>
        <v>8</v>
      </c>
      <c r="AA82" s="9">
        <f t="shared" si="25"/>
        <v>0</v>
      </c>
      <c r="AC82" s="3" t="s">
        <v>557</v>
      </c>
      <c r="AD82" s="3" t="s">
        <v>577</v>
      </c>
      <c r="AE82" s="3" t="s">
        <v>580</v>
      </c>
      <c r="AF82" s="9">
        <f t="shared" si="26"/>
        <v>0</v>
      </c>
    </row>
    <row r="83" spans="1:32" x14ac:dyDescent="0.25">
      <c r="A83" s="22" t="s">
        <v>112</v>
      </c>
      <c r="B83" s="24" t="s">
        <v>373</v>
      </c>
      <c r="D83" s="10">
        <v>0.95</v>
      </c>
      <c r="E83" s="1">
        <v>15</v>
      </c>
      <c r="F83" s="1">
        <v>7</v>
      </c>
      <c r="G83" s="1">
        <v>3</v>
      </c>
      <c r="H83" s="1">
        <v>37</v>
      </c>
      <c r="I83" s="1">
        <v>37</v>
      </c>
      <c r="J83" s="1">
        <v>19</v>
      </c>
      <c r="K83" s="1">
        <v>23</v>
      </c>
      <c r="L83" s="1">
        <v>5</v>
      </c>
      <c r="M83" s="1">
        <v>9</v>
      </c>
      <c r="N83" s="1">
        <v>6</v>
      </c>
      <c r="O83" s="1">
        <v>4</v>
      </c>
      <c r="P83" s="1">
        <v>21</v>
      </c>
      <c r="Q83" s="26">
        <v>186</v>
      </c>
      <c r="R83" s="4">
        <f t="shared" si="27"/>
        <v>15.5</v>
      </c>
      <c r="S83" s="5">
        <f t="shared" si="19"/>
        <v>1.6448536269514715</v>
      </c>
      <c r="T83" s="6">
        <f t="shared" si="20"/>
        <v>12.161788146037198</v>
      </c>
      <c r="U83" s="3">
        <v>1</v>
      </c>
      <c r="V83" s="7">
        <f t="shared" si="28"/>
        <v>0.23076923076923078</v>
      </c>
      <c r="W83" s="18">
        <f t="shared" si="21"/>
        <v>10</v>
      </c>
      <c r="X83" s="19">
        <f t="shared" si="22"/>
        <v>10.84877679510525</v>
      </c>
      <c r="Y83" s="25">
        <f t="shared" si="23"/>
        <v>14</v>
      </c>
      <c r="Z83" s="25">
        <f t="shared" si="24"/>
        <v>24</v>
      </c>
      <c r="AA83" s="9">
        <f t="shared" si="25"/>
        <v>0</v>
      </c>
      <c r="AC83" s="3" t="s">
        <v>567</v>
      </c>
      <c r="AD83" s="3" t="s">
        <v>586</v>
      </c>
      <c r="AE83" s="3" t="s">
        <v>600</v>
      </c>
      <c r="AF83" s="9">
        <f t="shared" si="26"/>
        <v>0</v>
      </c>
    </row>
    <row r="84" spans="1:32" x14ac:dyDescent="0.25">
      <c r="A84" s="21" t="s">
        <v>113</v>
      </c>
      <c r="B84" s="23" t="s">
        <v>374</v>
      </c>
      <c r="D84" s="10">
        <v>0.95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26">
        <v>0</v>
      </c>
      <c r="R84" s="4">
        <f t="shared" si="27"/>
        <v>0</v>
      </c>
      <c r="S84" s="5">
        <f t="shared" si="19"/>
        <v>1.6448536269514715</v>
      </c>
      <c r="T84" s="6">
        <f t="shared" si="20"/>
        <v>0</v>
      </c>
      <c r="U84" s="3">
        <v>1</v>
      </c>
      <c r="V84" s="7">
        <f t="shared" si="28"/>
        <v>0.23076923076923078</v>
      </c>
      <c r="W84" s="18">
        <f t="shared" si="21"/>
        <v>0</v>
      </c>
      <c r="X84" s="19">
        <f t="shared" si="22"/>
        <v>0</v>
      </c>
      <c r="Y84" s="8">
        <f t="shared" si="23"/>
        <v>0</v>
      </c>
      <c r="Z84" s="8">
        <f t="shared" si="24"/>
        <v>0</v>
      </c>
      <c r="AA84" s="9">
        <f t="shared" si="25"/>
        <v>0</v>
      </c>
      <c r="AC84" s="3" t="s">
        <v>554</v>
      </c>
      <c r="AD84" s="3" t="s">
        <v>554</v>
      </c>
      <c r="AE84" s="3" t="s">
        <v>591</v>
      </c>
      <c r="AF84" s="9">
        <f t="shared" si="26"/>
        <v>0</v>
      </c>
    </row>
    <row r="85" spans="1:32" x14ac:dyDescent="0.25">
      <c r="A85" s="22" t="s">
        <v>114</v>
      </c>
      <c r="B85" s="24" t="s">
        <v>375</v>
      </c>
      <c r="D85" s="10">
        <v>0.95</v>
      </c>
      <c r="E85" s="1">
        <v>0</v>
      </c>
      <c r="F85" s="1">
        <v>0</v>
      </c>
      <c r="G85" s="1">
        <v>0</v>
      </c>
      <c r="H85" s="1">
        <v>0</v>
      </c>
      <c r="I85" s="1">
        <v>14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26">
        <v>14</v>
      </c>
      <c r="R85" s="4">
        <f t="shared" si="27"/>
        <v>1.1666666666666667</v>
      </c>
      <c r="S85" s="5">
        <f t="shared" si="19"/>
        <v>1.6448536269514715</v>
      </c>
      <c r="T85" s="6">
        <f t="shared" si="20"/>
        <v>4.0414518843273806</v>
      </c>
      <c r="U85" s="3">
        <v>3</v>
      </c>
      <c r="V85" s="7">
        <f t="shared" si="28"/>
        <v>0.69230769230769229</v>
      </c>
      <c r="W85" s="18">
        <f t="shared" si="21"/>
        <v>6</v>
      </c>
      <c r="X85" s="19">
        <f t="shared" si="22"/>
        <v>2.9717956078409618</v>
      </c>
      <c r="Y85" s="25">
        <f t="shared" si="23"/>
        <v>4</v>
      </c>
      <c r="Z85" s="25">
        <f t="shared" si="24"/>
        <v>10</v>
      </c>
      <c r="AA85" s="9">
        <f t="shared" si="25"/>
        <v>0</v>
      </c>
      <c r="AC85" s="3" t="s">
        <v>568</v>
      </c>
      <c r="AD85" s="3" t="s">
        <v>571</v>
      </c>
      <c r="AE85" s="3" t="s">
        <v>595</v>
      </c>
      <c r="AF85" s="9">
        <f t="shared" si="26"/>
        <v>0</v>
      </c>
    </row>
    <row r="86" spans="1:32" x14ac:dyDescent="0.25">
      <c r="A86" s="21" t="s">
        <v>115</v>
      </c>
      <c r="B86" s="23" t="s">
        <v>376</v>
      </c>
      <c r="D86" s="10">
        <v>0.95</v>
      </c>
      <c r="E86" s="1">
        <v>54</v>
      </c>
      <c r="F86" s="1">
        <v>50</v>
      </c>
      <c r="G86" s="1">
        <v>25</v>
      </c>
      <c r="H86" s="1">
        <v>47</v>
      </c>
      <c r="I86" s="1">
        <v>22</v>
      </c>
      <c r="J86" s="1">
        <v>41</v>
      </c>
      <c r="K86" s="1">
        <v>26</v>
      </c>
      <c r="L86" s="1">
        <v>11</v>
      </c>
      <c r="M86" s="1">
        <v>22</v>
      </c>
      <c r="N86" s="1">
        <v>22</v>
      </c>
      <c r="O86" s="1">
        <v>39</v>
      </c>
      <c r="P86" s="1">
        <v>38</v>
      </c>
      <c r="Q86" s="26">
        <v>397</v>
      </c>
      <c r="R86" s="4">
        <f t="shared" si="27"/>
        <v>33.083333333333336</v>
      </c>
      <c r="S86" s="5">
        <f t="shared" si="19"/>
        <v>1.6448536269514715</v>
      </c>
      <c r="T86" s="6">
        <f t="shared" si="20"/>
        <v>13.520747244904994</v>
      </c>
      <c r="U86" s="3">
        <v>1</v>
      </c>
      <c r="V86" s="7">
        <f t="shared" si="28"/>
        <v>0.23076923076923078</v>
      </c>
      <c r="W86" s="18">
        <f t="shared" si="21"/>
        <v>11</v>
      </c>
      <c r="X86" s="19">
        <f t="shared" si="22"/>
        <v>16.711721343441575</v>
      </c>
      <c r="Y86" s="8">
        <f t="shared" si="23"/>
        <v>24</v>
      </c>
      <c r="Z86" s="8">
        <f t="shared" si="24"/>
        <v>35</v>
      </c>
      <c r="AA86" s="9">
        <f t="shared" si="25"/>
        <v>0</v>
      </c>
      <c r="AC86" s="3" t="s">
        <v>565</v>
      </c>
      <c r="AD86" s="3" t="s">
        <v>558</v>
      </c>
      <c r="AE86" s="3" t="s">
        <v>573</v>
      </c>
      <c r="AF86" s="9">
        <f t="shared" si="26"/>
        <v>0</v>
      </c>
    </row>
    <row r="87" spans="1:32" x14ac:dyDescent="0.25">
      <c r="A87" s="22" t="s">
        <v>116</v>
      </c>
      <c r="B87" s="24" t="s">
        <v>377</v>
      </c>
      <c r="D87" s="10">
        <v>0.95</v>
      </c>
      <c r="E87" s="1">
        <v>0</v>
      </c>
      <c r="F87" s="1">
        <v>0</v>
      </c>
      <c r="G87" s="1">
        <v>0</v>
      </c>
      <c r="H87" s="1">
        <v>2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26">
        <v>2</v>
      </c>
      <c r="R87" s="4">
        <f t="shared" si="27"/>
        <v>0.16666666666666666</v>
      </c>
      <c r="S87" s="5">
        <f t="shared" si="19"/>
        <v>1.6448536269514715</v>
      </c>
      <c r="T87" s="6">
        <f t="shared" si="20"/>
        <v>0.57735026918962573</v>
      </c>
      <c r="U87" s="3">
        <v>1</v>
      </c>
      <c r="V87" s="7">
        <f t="shared" si="28"/>
        <v>0.23076923076923078</v>
      </c>
      <c r="W87" s="18">
        <f t="shared" si="21"/>
        <v>1</v>
      </c>
      <c r="X87" s="19">
        <f t="shared" si="22"/>
        <v>0.24510957059478955</v>
      </c>
      <c r="Y87" s="8">
        <f t="shared" si="23"/>
        <v>0</v>
      </c>
      <c r="Z87" s="8">
        <f t="shared" si="24"/>
        <v>1</v>
      </c>
      <c r="AA87" s="9">
        <f t="shared" si="25"/>
        <v>0</v>
      </c>
      <c r="AC87" s="3" t="s">
        <v>554</v>
      </c>
      <c r="AD87" s="3" t="s">
        <v>554</v>
      </c>
      <c r="AE87" s="3" t="s">
        <v>591</v>
      </c>
      <c r="AF87" s="9">
        <f t="shared" si="26"/>
        <v>0</v>
      </c>
    </row>
    <row r="88" spans="1:32" x14ac:dyDescent="0.25">
      <c r="A88" s="21" t="s">
        <v>117</v>
      </c>
      <c r="B88" s="23" t="s">
        <v>378</v>
      </c>
      <c r="D88" s="10">
        <v>0.95</v>
      </c>
      <c r="E88" s="1">
        <v>12</v>
      </c>
      <c r="F88" s="1">
        <v>13</v>
      </c>
      <c r="G88" s="1">
        <v>10</v>
      </c>
      <c r="H88" s="1">
        <v>19</v>
      </c>
      <c r="I88" s="1">
        <v>25</v>
      </c>
      <c r="J88" s="1">
        <v>18</v>
      </c>
      <c r="K88" s="1">
        <v>26</v>
      </c>
      <c r="L88" s="1">
        <v>29</v>
      </c>
      <c r="M88" s="1">
        <v>40</v>
      </c>
      <c r="N88" s="1">
        <v>22</v>
      </c>
      <c r="O88" s="1">
        <v>26</v>
      </c>
      <c r="P88" s="1">
        <v>21</v>
      </c>
      <c r="Q88" s="26">
        <v>261</v>
      </c>
      <c r="R88" s="4">
        <f t="shared" si="27"/>
        <v>21.75</v>
      </c>
      <c r="S88" s="5">
        <f t="shared" si="19"/>
        <v>1.6448536269514715</v>
      </c>
      <c r="T88" s="6">
        <f t="shared" si="20"/>
        <v>8.3353027975756664</v>
      </c>
      <c r="U88" s="3">
        <v>1</v>
      </c>
      <c r="V88" s="7">
        <f t="shared" si="28"/>
        <v>0.23076923076923078</v>
      </c>
      <c r="W88" s="18">
        <f t="shared" si="21"/>
        <v>7</v>
      </c>
      <c r="X88" s="19">
        <f t="shared" si="22"/>
        <v>10.639140132631207</v>
      </c>
      <c r="Y88" s="25">
        <f t="shared" si="23"/>
        <v>16</v>
      </c>
      <c r="Z88" s="25">
        <f t="shared" si="24"/>
        <v>23</v>
      </c>
      <c r="AA88" s="9">
        <f t="shared" si="25"/>
        <v>0</v>
      </c>
      <c r="AC88" s="3" t="s">
        <v>565</v>
      </c>
      <c r="AD88" s="3" t="s">
        <v>586</v>
      </c>
      <c r="AE88" s="3" t="s">
        <v>562</v>
      </c>
      <c r="AF88" s="9">
        <f t="shared" si="26"/>
        <v>0</v>
      </c>
    </row>
    <row r="89" spans="1:32" x14ac:dyDescent="0.25">
      <c r="A89" s="22" t="s">
        <v>118</v>
      </c>
      <c r="B89" s="24" t="s">
        <v>379</v>
      </c>
      <c r="D89" s="10">
        <v>0.95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26">
        <v>0</v>
      </c>
      <c r="R89" s="4">
        <f t="shared" si="27"/>
        <v>0</v>
      </c>
      <c r="S89" s="5">
        <f t="shared" si="19"/>
        <v>1.6448536269514715</v>
      </c>
      <c r="T89" s="6">
        <f t="shared" si="20"/>
        <v>0</v>
      </c>
      <c r="U89" s="3">
        <v>1</v>
      </c>
      <c r="V89" s="7">
        <f t="shared" si="28"/>
        <v>0.23076923076923078</v>
      </c>
      <c r="W89" s="18">
        <f t="shared" si="21"/>
        <v>0</v>
      </c>
      <c r="X89" s="19">
        <f t="shared" si="22"/>
        <v>0</v>
      </c>
      <c r="Y89" s="8">
        <f t="shared" si="23"/>
        <v>0</v>
      </c>
      <c r="Z89" s="8">
        <f t="shared" si="24"/>
        <v>0</v>
      </c>
      <c r="AA89" s="9">
        <f t="shared" si="25"/>
        <v>0</v>
      </c>
      <c r="AC89" s="3" t="s">
        <v>554</v>
      </c>
      <c r="AD89" s="3" t="s">
        <v>554</v>
      </c>
      <c r="AE89" s="3" t="s">
        <v>591</v>
      </c>
      <c r="AF89" s="9">
        <f t="shared" si="26"/>
        <v>0</v>
      </c>
    </row>
    <row r="90" spans="1:32" x14ac:dyDescent="0.25">
      <c r="A90" s="21" t="s">
        <v>119</v>
      </c>
      <c r="B90" s="23" t="s">
        <v>380</v>
      </c>
      <c r="D90" s="10">
        <v>0.95</v>
      </c>
      <c r="E90" s="1">
        <v>61</v>
      </c>
      <c r="F90" s="1">
        <v>36</v>
      </c>
      <c r="G90" s="1">
        <v>49</v>
      </c>
      <c r="H90" s="1">
        <v>38</v>
      </c>
      <c r="I90" s="1">
        <v>59</v>
      </c>
      <c r="J90" s="1">
        <v>20</v>
      </c>
      <c r="K90" s="1">
        <v>44</v>
      </c>
      <c r="L90" s="1">
        <v>18</v>
      </c>
      <c r="M90" s="1">
        <v>24</v>
      </c>
      <c r="N90" s="1">
        <v>64</v>
      </c>
      <c r="O90" s="1">
        <v>27</v>
      </c>
      <c r="P90" s="1">
        <v>27</v>
      </c>
      <c r="Q90" s="26">
        <v>467</v>
      </c>
      <c r="R90" s="4">
        <f t="shared" si="27"/>
        <v>38.916666666666664</v>
      </c>
      <c r="S90" s="5">
        <f t="shared" si="19"/>
        <v>1.6448536269514715</v>
      </c>
      <c r="T90" s="6">
        <f t="shared" si="20"/>
        <v>16.400988514184881</v>
      </c>
      <c r="U90" s="3">
        <v>1</v>
      </c>
      <c r="V90" s="7">
        <f t="shared" si="28"/>
        <v>0.23076923076923078</v>
      </c>
      <c r="W90" s="18">
        <f t="shared" si="21"/>
        <v>13</v>
      </c>
      <c r="X90" s="19">
        <f t="shared" si="22"/>
        <v>19.962688842524884</v>
      </c>
      <c r="Y90" s="25">
        <f t="shared" si="23"/>
        <v>29</v>
      </c>
      <c r="Z90" s="25">
        <f t="shared" si="24"/>
        <v>42</v>
      </c>
      <c r="AA90" s="9">
        <f t="shared" si="25"/>
        <v>0</v>
      </c>
      <c r="AC90" s="3" t="s">
        <v>569</v>
      </c>
      <c r="AD90" s="3" t="s">
        <v>582</v>
      </c>
      <c r="AE90" s="3" t="s">
        <v>572</v>
      </c>
      <c r="AF90" s="9">
        <f t="shared" si="26"/>
        <v>0</v>
      </c>
    </row>
    <row r="91" spans="1:32" x14ac:dyDescent="0.25">
      <c r="A91" s="22" t="s">
        <v>120</v>
      </c>
      <c r="B91" s="24" t="s">
        <v>381</v>
      </c>
      <c r="D91" s="10">
        <v>0.95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26">
        <v>0</v>
      </c>
      <c r="R91" s="4">
        <f t="shared" si="27"/>
        <v>0</v>
      </c>
      <c r="S91" s="5">
        <f t="shared" si="19"/>
        <v>1.6448536269514715</v>
      </c>
      <c r="T91" s="6">
        <f t="shared" si="20"/>
        <v>0</v>
      </c>
      <c r="U91" s="3">
        <v>1</v>
      </c>
      <c r="V91" s="7">
        <f t="shared" si="28"/>
        <v>0.23076923076923078</v>
      </c>
      <c r="W91" s="18">
        <f t="shared" si="21"/>
        <v>0</v>
      </c>
      <c r="X91" s="19">
        <f t="shared" si="22"/>
        <v>0</v>
      </c>
      <c r="Y91" s="8">
        <f t="shared" si="23"/>
        <v>0</v>
      </c>
      <c r="Z91" s="8">
        <f t="shared" si="24"/>
        <v>0</v>
      </c>
      <c r="AA91" s="9">
        <f t="shared" si="25"/>
        <v>0</v>
      </c>
      <c r="AC91" s="3" t="s">
        <v>554</v>
      </c>
      <c r="AD91" s="3" t="s">
        <v>554</v>
      </c>
      <c r="AE91" s="3" t="s">
        <v>591</v>
      </c>
      <c r="AF91" s="9">
        <f t="shared" si="26"/>
        <v>0</v>
      </c>
    </row>
    <row r="92" spans="1:32" x14ac:dyDescent="0.25">
      <c r="A92" s="21" t="s">
        <v>121</v>
      </c>
      <c r="B92" s="23" t="s">
        <v>382</v>
      </c>
      <c r="D92" s="10">
        <v>0.95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26">
        <v>0</v>
      </c>
      <c r="R92" s="4">
        <f t="shared" si="27"/>
        <v>0</v>
      </c>
      <c r="S92" s="5">
        <f t="shared" ref="S92:S155" si="29">NORMSINV(D92)</f>
        <v>1.6448536269514715</v>
      </c>
      <c r="T92" s="6">
        <f t="shared" ref="T92:T155" si="30">STDEV(E92:P92)</f>
        <v>0</v>
      </c>
      <c r="U92" s="3">
        <v>1</v>
      </c>
      <c r="V92" s="7">
        <f t="shared" si="28"/>
        <v>0.23076923076923078</v>
      </c>
      <c r="W92" s="18">
        <f t="shared" ref="W92:W155" si="31">CEILING(S92*T92*(SQRT(V92)),1)</f>
        <v>0</v>
      </c>
      <c r="X92" s="19">
        <f t="shared" ref="X92:X155" si="32">S92*SQRT(T92*V92*R92)</f>
        <v>0</v>
      </c>
      <c r="Y92" s="8">
        <f t="shared" ref="Y92:Y155" si="33">ROUND(V92*R92+X92,0)</f>
        <v>0</v>
      </c>
      <c r="Z92" s="8">
        <f t="shared" ref="Z92:Z155" si="34">ROUND(Y92+W92,0)</f>
        <v>0</v>
      </c>
      <c r="AA92" s="9">
        <f t="shared" ref="AA92:AA155" si="35">C92*Z92</f>
        <v>0</v>
      </c>
      <c r="AC92" s="3" t="s">
        <v>554</v>
      </c>
      <c r="AD92" s="3" t="s">
        <v>554</v>
      </c>
      <c r="AE92" s="3" t="s">
        <v>591</v>
      </c>
      <c r="AF92" s="9">
        <f t="shared" ref="AF92:AF155" si="36">AD92*C92</f>
        <v>0</v>
      </c>
    </row>
    <row r="93" spans="1:32" x14ac:dyDescent="0.25">
      <c r="A93" s="22" t="s">
        <v>122</v>
      </c>
      <c r="B93" s="24" t="s">
        <v>383</v>
      </c>
      <c r="D93" s="10">
        <v>0.95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26">
        <v>0</v>
      </c>
      <c r="R93" s="4">
        <f t="shared" si="27"/>
        <v>0</v>
      </c>
      <c r="S93" s="5">
        <f t="shared" si="29"/>
        <v>1.6448536269514715</v>
      </c>
      <c r="T93" s="6">
        <f t="shared" si="30"/>
        <v>0</v>
      </c>
      <c r="U93" s="3">
        <v>1</v>
      </c>
      <c r="V93" s="7">
        <f t="shared" si="28"/>
        <v>0.23076923076923078</v>
      </c>
      <c r="W93" s="18">
        <f t="shared" si="31"/>
        <v>0</v>
      </c>
      <c r="X93" s="19">
        <f t="shared" si="32"/>
        <v>0</v>
      </c>
      <c r="Y93" s="8">
        <f t="shared" si="33"/>
        <v>0</v>
      </c>
      <c r="Z93" s="8">
        <f t="shared" si="34"/>
        <v>0</v>
      </c>
      <c r="AA93" s="9">
        <f t="shared" si="35"/>
        <v>0</v>
      </c>
      <c r="AC93" s="3" t="s">
        <v>554</v>
      </c>
      <c r="AD93" s="3" t="s">
        <v>554</v>
      </c>
      <c r="AE93" s="3" t="s">
        <v>591</v>
      </c>
      <c r="AF93" s="9">
        <f t="shared" si="36"/>
        <v>0</v>
      </c>
    </row>
    <row r="94" spans="1:32" x14ac:dyDescent="0.25">
      <c r="A94" s="21" t="s">
        <v>123</v>
      </c>
      <c r="B94" s="23" t="s">
        <v>384</v>
      </c>
      <c r="D94" s="10">
        <v>0.95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26">
        <v>0</v>
      </c>
      <c r="R94" s="4">
        <f t="shared" si="27"/>
        <v>0</v>
      </c>
      <c r="S94" s="5">
        <f t="shared" si="29"/>
        <v>1.6448536269514715</v>
      </c>
      <c r="T94" s="6">
        <f t="shared" si="30"/>
        <v>0</v>
      </c>
      <c r="U94" s="3">
        <v>1</v>
      </c>
      <c r="V94" s="7">
        <f t="shared" si="28"/>
        <v>0.23076923076923078</v>
      </c>
      <c r="W94" s="18">
        <f t="shared" si="31"/>
        <v>0</v>
      </c>
      <c r="X94" s="19">
        <f t="shared" si="32"/>
        <v>0</v>
      </c>
      <c r="Y94" s="8">
        <f t="shared" si="33"/>
        <v>0</v>
      </c>
      <c r="Z94" s="8">
        <f t="shared" si="34"/>
        <v>0</v>
      </c>
      <c r="AA94" s="9">
        <f t="shared" si="35"/>
        <v>0</v>
      </c>
      <c r="AC94" s="3" t="s">
        <v>554</v>
      </c>
      <c r="AD94" s="3" t="s">
        <v>554</v>
      </c>
      <c r="AE94" s="3" t="s">
        <v>591</v>
      </c>
      <c r="AF94" s="9">
        <f t="shared" si="36"/>
        <v>0</v>
      </c>
    </row>
    <row r="95" spans="1:32" x14ac:dyDescent="0.25">
      <c r="A95" s="22" t="s">
        <v>124</v>
      </c>
      <c r="B95" s="24" t="s">
        <v>385</v>
      </c>
      <c r="D95" s="10">
        <v>0.95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26">
        <v>0</v>
      </c>
      <c r="R95" s="4">
        <f t="shared" si="27"/>
        <v>0</v>
      </c>
      <c r="S95" s="5">
        <f t="shared" si="29"/>
        <v>1.6448536269514715</v>
      </c>
      <c r="T95" s="6">
        <f t="shared" si="30"/>
        <v>0</v>
      </c>
      <c r="U95" s="3">
        <v>1</v>
      </c>
      <c r="V95" s="7">
        <f t="shared" si="28"/>
        <v>0.23076923076923078</v>
      </c>
      <c r="W95" s="18">
        <f t="shared" si="31"/>
        <v>0</v>
      </c>
      <c r="X95" s="19">
        <f t="shared" si="32"/>
        <v>0</v>
      </c>
      <c r="Y95" s="8">
        <f t="shared" si="33"/>
        <v>0</v>
      </c>
      <c r="Z95" s="8">
        <f t="shared" si="34"/>
        <v>0</v>
      </c>
      <c r="AA95" s="9">
        <f t="shared" si="35"/>
        <v>0</v>
      </c>
      <c r="AC95" s="3" t="s">
        <v>554</v>
      </c>
      <c r="AD95" s="3" t="s">
        <v>554</v>
      </c>
      <c r="AE95" s="3" t="s">
        <v>591</v>
      </c>
      <c r="AF95" s="9">
        <f t="shared" si="36"/>
        <v>0</v>
      </c>
    </row>
    <row r="96" spans="1:32" x14ac:dyDescent="0.25">
      <c r="A96" s="21" t="s">
        <v>125</v>
      </c>
      <c r="B96" s="23" t="s">
        <v>386</v>
      </c>
      <c r="D96" s="10">
        <v>0.95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26">
        <v>0</v>
      </c>
      <c r="R96" s="4">
        <f t="shared" si="27"/>
        <v>0</v>
      </c>
      <c r="S96" s="5">
        <f t="shared" si="29"/>
        <v>1.6448536269514715</v>
      </c>
      <c r="T96" s="6">
        <f t="shared" si="30"/>
        <v>0</v>
      </c>
      <c r="U96" s="3">
        <v>1</v>
      </c>
      <c r="V96" s="7">
        <f t="shared" si="28"/>
        <v>0.23076923076923078</v>
      </c>
      <c r="W96" s="18">
        <f t="shared" si="31"/>
        <v>0</v>
      </c>
      <c r="X96" s="19">
        <f t="shared" si="32"/>
        <v>0</v>
      </c>
      <c r="Y96" s="8">
        <f t="shared" si="33"/>
        <v>0</v>
      </c>
      <c r="Z96" s="8">
        <f t="shared" si="34"/>
        <v>0</v>
      </c>
      <c r="AA96" s="9">
        <f t="shared" si="35"/>
        <v>0</v>
      </c>
      <c r="AC96" s="3" t="s">
        <v>554</v>
      </c>
      <c r="AD96" s="3" t="s">
        <v>554</v>
      </c>
      <c r="AE96" s="3" t="s">
        <v>591</v>
      </c>
      <c r="AF96" s="9">
        <f t="shared" si="36"/>
        <v>0</v>
      </c>
    </row>
    <row r="97" spans="1:32" x14ac:dyDescent="0.25">
      <c r="A97" s="22" t="s">
        <v>126</v>
      </c>
      <c r="B97" s="24" t="s">
        <v>387</v>
      </c>
      <c r="D97" s="10">
        <v>0.95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26">
        <v>0</v>
      </c>
      <c r="R97" s="4">
        <f t="shared" si="27"/>
        <v>0</v>
      </c>
      <c r="S97" s="5">
        <f t="shared" si="29"/>
        <v>1.6448536269514715</v>
      </c>
      <c r="T97" s="6">
        <f t="shared" si="30"/>
        <v>0</v>
      </c>
      <c r="U97" s="3">
        <v>1</v>
      </c>
      <c r="V97" s="7">
        <f t="shared" si="28"/>
        <v>0.23076923076923078</v>
      </c>
      <c r="W97" s="18">
        <f t="shared" si="31"/>
        <v>0</v>
      </c>
      <c r="X97" s="19">
        <f t="shared" si="32"/>
        <v>0</v>
      </c>
      <c r="Y97" s="8">
        <f t="shared" si="33"/>
        <v>0</v>
      </c>
      <c r="Z97" s="8">
        <f t="shared" si="34"/>
        <v>0</v>
      </c>
      <c r="AA97" s="9">
        <f t="shared" si="35"/>
        <v>0</v>
      </c>
      <c r="AC97" s="3" t="s">
        <v>554</v>
      </c>
      <c r="AD97" s="3" t="s">
        <v>554</v>
      </c>
      <c r="AE97" s="3" t="s">
        <v>591</v>
      </c>
      <c r="AF97" s="9">
        <f t="shared" si="36"/>
        <v>0</v>
      </c>
    </row>
    <row r="98" spans="1:32" x14ac:dyDescent="0.25">
      <c r="A98" s="21" t="s">
        <v>127</v>
      </c>
      <c r="B98" s="23" t="s">
        <v>388</v>
      </c>
      <c r="D98" s="10">
        <v>0.95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4</v>
      </c>
      <c r="P98" s="1">
        <v>0</v>
      </c>
      <c r="Q98" s="26">
        <v>4</v>
      </c>
      <c r="R98" s="4">
        <f t="shared" si="27"/>
        <v>0.33333333333333331</v>
      </c>
      <c r="S98" s="5">
        <f t="shared" si="29"/>
        <v>1.6448536269514715</v>
      </c>
      <c r="T98" s="6">
        <f t="shared" si="30"/>
        <v>1.1547005383792515</v>
      </c>
      <c r="U98" s="3">
        <v>1</v>
      </c>
      <c r="V98" s="7">
        <f t="shared" si="28"/>
        <v>0.23076923076923078</v>
      </c>
      <c r="W98" s="18">
        <f t="shared" si="31"/>
        <v>1</v>
      </c>
      <c r="X98" s="19">
        <f t="shared" si="32"/>
        <v>0.4902191411895791</v>
      </c>
      <c r="Y98" s="25">
        <f t="shared" si="33"/>
        <v>1</v>
      </c>
      <c r="Z98" s="25">
        <f t="shared" si="34"/>
        <v>2</v>
      </c>
      <c r="AA98" s="9">
        <f t="shared" si="35"/>
        <v>0</v>
      </c>
      <c r="AC98" s="3" t="s">
        <v>554</v>
      </c>
      <c r="AD98" s="3" t="s">
        <v>554</v>
      </c>
      <c r="AE98" s="3" t="s">
        <v>591</v>
      </c>
      <c r="AF98" s="9">
        <f t="shared" si="36"/>
        <v>0</v>
      </c>
    </row>
    <row r="99" spans="1:32" x14ac:dyDescent="0.25">
      <c r="A99" s="22" t="s">
        <v>128</v>
      </c>
      <c r="B99" s="24" t="s">
        <v>389</v>
      </c>
      <c r="D99" s="10">
        <v>0.95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26">
        <v>0</v>
      </c>
      <c r="R99" s="4">
        <f t="shared" si="27"/>
        <v>0</v>
      </c>
      <c r="S99" s="5">
        <f t="shared" si="29"/>
        <v>1.6448536269514715</v>
      </c>
      <c r="T99" s="6">
        <f t="shared" si="30"/>
        <v>0</v>
      </c>
      <c r="U99" s="3">
        <v>1</v>
      </c>
      <c r="V99" s="7">
        <f t="shared" si="28"/>
        <v>0.23076923076923078</v>
      </c>
      <c r="W99" s="18">
        <f t="shared" si="31"/>
        <v>0</v>
      </c>
      <c r="X99" s="19">
        <f t="shared" si="32"/>
        <v>0</v>
      </c>
      <c r="Y99" s="8">
        <f t="shared" si="33"/>
        <v>0</v>
      </c>
      <c r="Z99" s="8">
        <f t="shared" si="34"/>
        <v>0</v>
      </c>
      <c r="AA99" s="9">
        <f t="shared" si="35"/>
        <v>0</v>
      </c>
      <c r="AC99" s="3" t="s">
        <v>554</v>
      </c>
      <c r="AD99" s="3" t="s">
        <v>554</v>
      </c>
      <c r="AE99" s="3" t="s">
        <v>591</v>
      </c>
      <c r="AF99" s="9">
        <f t="shared" si="36"/>
        <v>0</v>
      </c>
    </row>
    <row r="100" spans="1:32" x14ac:dyDescent="0.25">
      <c r="A100" s="21" t="s">
        <v>129</v>
      </c>
      <c r="B100" s="23" t="s">
        <v>390</v>
      </c>
      <c r="D100" s="10">
        <v>0.95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26">
        <v>0</v>
      </c>
      <c r="R100" s="4">
        <f t="shared" si="27"/>
        <v>0</v>
      </c>
      <c r="S100" s="5">
        <f t="shared" si="29"/>
        <v>1.6448536269514715</v>
      </c>
      <c r="T100" s="6">
        <f t="shared" si="30"/>
        <v>0</v>
      </c>
      <c r="U100" s="3">
        <v>1</v>
      </c>
      <c r="V100" s="7">
        <f t="shared" si="28"/>
        <v>0.23076923076923078</v>
      </c>
      <c r="W100" s="18">
        <f t="shared" si="31"/>
        <v>0</v>
      </c>
      <c r="X100" s="19">
        <f t="shared" si="32"/>
        <v>0</v>
      </c>
      <c r="Y100" s="8">
        <f t="shared" si="33"/>
        <v>0</v>
      </c>
      <c r="Z100" s="8">
        <f t="shared" si="34"/>
        <v>0</v>
      </c>
      <c r="AA100" s="9">
        <f t="shared" si="35"/>
        <v>0</v>
      </c>
      <c r="AC100" s="3" t="s">
        <v>554</v>
      </c>
      <c r="AD100" s="3" t="s">
        <v>554</v>
      </c>
      <c r="AE100" s="3" t="s">
        <v>591</v>
      </c>
      <c r="AF100" s="9">
        <f t="shared" si="36"/>
        <v>0</v>
      </c>
    </row>
    <row r="101" spans="1:32" x14ac:dyDescent="0.25">
      <c r="A101" s="22" t="s">
        <v>130</v>
      </c>
      <c r="B101" s="24" t="s">
        <v>391</v>
      </c>
      <c r="D101" s="10">
        <v>0.95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26">
        <v>0</v>
      </c>
      <c r="R101" s="4">
        <f t="shared" si="27"/>
        <v>0</v>
      </c>
      <c r="S101" s="5">
        <f t="shared" si="29"/>
        <v>1.6448536269514715</v>
      </c>
      <c r="T101" s="6">
        <f t="shared" si="30"/>
        <v>0</v>
      </c>
      <c r="U101" s="3">
        <v>1</v>
      </c>
      <c r="V101" s="7">
        <f t="shared" si="28"/>
        <v>0.23076923076923078</v>
      </c>
      <c r="W101" s="18">
        <f t="shared" si="31"/>
        <v>0</v>
      </c>
      <c r="X101" s="19">
        <f t="shared" si="32"/>
        <v>0</v>
      </c>
      <c r="Y101" s="8">
        <f t="shared" si="33"/>
        <v>0</v>
      </c>
      <c r="Z101" s="8">
        <f t="shared" si="34"/>
        <v>0</v>
      </c>
      <c r="AA101" s="9">
        <f t="shared" si="35"/>
        <v>0</v>
      </c>
      <c r="AC101" s="3" t="s">
        <v>554</v>
      </c>
      <c r="AD101" s="3" t="s">
        <v>554</v>
      </c>
      <c r="AE101" s="3" t="s">
        <v>591</v>
      </c>
      <c r="AF101" s="9">
        <f t="shared" si="36"/>
        <v>0</v>
      </c>
    </row>
    <row r="102" spans="1:32" x14ac:dyDescent="0.25">
      <c r="A102" s="21" t="s">
        <v>131</v>
      </c>
      <c r="B102" s="23" t="s">
        <v>392</v>
      </c>
      <c r="D102" s="10">
        <v>0.95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26">
        <v>0</v>
      </c>
      <c r="R102" s="4">
        <f t="shared" si="27"/>
        <v>0</v>
      </c>
      <c r="S102" s="5">
        <f t="shared" si="29"/>
        <v>1.6448536269514715</v>
      </c>
      <c r="T102" s="6">
        <f t="shared" si="30"/>
        <v>0</v>
      </c>
      <c r="U102" s="3">
        <v>1</v>
      </c>
      <c r="V102" s="7">
        <f t="shared" si="28"/>
        <v>0.23076923076923078</v>
      </c>
      <c r="W102" s="18">
        <f t="shared" si="31"/>
        <v>0</v>
      </c>
      <c r="X102" s="19">
        <f t="shared" si="32"/>
        <v>0</v>
      </c>
      <c r="Y102" s="8">
        <f t="shared" si="33"/>
        <v>0</v>
      </c>
      <c r="Z102" s="8">
        <f t="shared" si="34"/>
        <v>0</v>
      </c>
      <c r="AA102" s="9">
        <f t="shared" si="35"/>
        <v>0</v>
      </c>
      <c r="AC102" s="3" t="s">
        <v>554</v>
      </c>
      <c r="AD102" s="3" t="s">
        <v>554</v>
      </c>
      <c r="AE102" s="3" t="s">
        <v>591</v>
      </c>
      <c r="AF102" s="9">
        <f t="shared" si="36"/>
        <v>0</v>
      </c>
    </row>
    <row r="103" spans="1:32" x14ac:dyDescent="0.25">
      <c r="A103" s="22" t="s">
        <v>132</v>
      </c>
      <c r="B103" s="24" t="s">
        <v>393</v>
      </c>
      <c r="D103" s="10">
        <v>0.95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26">
        <v>0</v>
      </c>
      <c r="R103" s="4">
        <f t="shared" si="27"/>
        <v>0</v>
      </c>
      <c r="S103" s="5">
        <f t="shared" si="29"/>
        <v>1.6448536269514715</v>
      </c>
      <c r="T103" s="6">
        <f t="shared" si="30"/>
        <v>0</v>
      </c>
      <c r="U103" s="3">
        <v>1</v>
      </c>
      <c r="V103" s="7">
        <f t="shared" si="28"/>
        <v>0.23076923076923078</v>
      </c>
      <c r="W103" s="18">
        <f t="shared" si="31"/>
        <v>0</v>
      </c>
      <c r="X103" s="19">
        <f t="shared" si="32"/>
        <v>0</v>
      </c>
      <c r="Y103" s="8">
        <f t="shared" si="33"/>
        <v>0</v>
      </c>
      <c r="Z103" s="8">
        <f t="shared" si="34"/>
        <v>0</v>
      </c>
      <c r="AA103" s="9">
        <f t="shared" si="35"/>
        <v>0</v>
      </c>
      <c r="AC103" s="3" t="s">
        <v>554</v>
      </c>
      <c r="AD103" s="3" t="s">
        <v>554</v>
      </c>
      <c r="AE103" s="3" t="s">
        <v>591</v>
      </c>
      <c r="AF103" s="9">
        <f t="shared" si="36"/>
        <v>0</v>
      </c>
    </row>
    <row r="104" spans="1:32" x14ac:dyDescent="0.25">
      <c r="A104" s="21" t="s">
        <v>133</v>
      </c>
      <c r="B104" s="23" t="s">
        <v>394</v>
      </c>
      <c r="D104" s="10">
        <v>0.95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26">
        <v>0</v>
      </c>
      <c r="R104" s="4">
        <f t="shared" si="27"/>
        <v>0</v>
      </c>
      <c r="S104" s="5">
        <f t="shared" si="29"/>
        <v>1.6448536269514715</v>
      </c>
      <c r="T104" s="6">
        <f t="shared" si="30"/>
        <v>0</v>
      </c>
      <c r="U104" s="3">
        <v>1</v>
      </c>
      <c r="V104" s="7">
        <f t="shared" si="28"/>
        <v>0.23076923076923078</v>
      </c>
      <c r="W104" s="18">
        <f t="shared" si="31"/>
        <v>0</v>
      </c>
      <c r="X104" s="19">
        <f t="shared" si="32"/>
        <v>0</v>
      </c>
      <c r="Y104" s="8">
        <f t="shared" si="33"/>
        <v>0</v>
      </c>
      <c r="Z104" s="8">
        <f t="shared" si="34"/>
        <v>0</v>
      </c>
      <c r="AA104" s="9">
        <f t="shared" si="35"/>
        <v>0</v>
      </c>
      <c r="AC104" s="3" t="s">
        <v>554</v>
      </c>
      <c r="AD104" s="3" t="s">
        <v>554</v>
      </c>
      <c r="AE104" s="3" t="s">
        <v>591</v>
      </c>
      <c r="AF104" s="9">
        <f t="shared" si="36"/>
        <v>0</v>
      </c>
    </row>
    <row r="105" spans="1:32" x14ac:dyDescent="0.25">
      <c r="A105" s="22" t="s">
        <v>134</v>
      </c>
      <c r="B105" s="24" t="s">
        <v>395</v>
      </c>
      <c r="D105" s="10">
        <v>0.95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26">
        <v>0</v>
      </c>
      <c r="R105" s="4">
        <f t="shared" si="27"/>
        <v>0</v>
      </c>
      <c r="S105" s="5">
        <f t="shared" si="29"/>
        <v>1.6448536269514715</v>
      </c>
      <c r="T105" s="6">
        <f t="shared" si="30"/>
        <v>0</v>
      </c>
      <c r="U105" s="3">
        <v>1</v>
      </c>
      <c r="V105" s="7">
        <f t="shared" si="28"/>
        <v>0.23076923076923078</v>
      </c>
      <c r="W105" s="18">
        <f t="shared" si="31"/>
        <v>0</v>
      </c>
      <c r="X105" s="19">
        <f t="shared" si="32"/>
        <v>0</v>
      </c>
      <c r="Y105" s="8">
        <f t="shared" si="33"/>
        <v>0</v>
      </c>
      <c r="Z105" s="8">
        <f t="shared" si="34"/>
        <v>0</v>
      </c>
      <c r="AA105" s="9">
        <f t="shared" si="35"/>
        <v>0</v>
      </c>
      <c r="AC105" s="3" t="s">
        <v>554</v>
      </c>
      <c r="AD105" s="3" t="s">
        <v>554</v>
      </c>
      <c r="AE105" s="3" t="s">
        <v>591</v>
      </c>
      <c r="AF105" s="9">
        <f t="shared" si="36"/>
        <v>0</v>
      </c>
    </row>
    <row r="106" spans="1:32" x14ac:dyDescent="0.25">
      <c r="A106" s="21" t="s">
        <v>135</v>
      </c>
      <c r="B106" s="23" t="s">
        <v>396</v>
      </c>
      <c r="D106" s="10">
        <v>0.95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26">
        <v>0</v>
      </c>
      <c r="R106" s="4">
        <f t="shared" si="27"/>
        <v>0</v>
      </c>
      <c r="S106" s="5">
        <f t="shared" si="29"/>
        <v>1.6448536269514715</v>
      </c>
      <c r="T106" s="6">
        <f t="shared" si="30"/>
        <v>0</v>
      </c>
      <c r="U106" s="3">
        <v>1</v>
      </c>
      <c r="V106" s="7">
        <f t="shared" si="28"/>
        <v>0.23076923076923078</v>
      </c>
      <c r="W106" s="18">
        <f t="shared" si="31"/>
        <v>0</v>
      </c>
      <c r="X106" s="19">
        <f t="shared" si="32"/>
        <v>0</v>
      </c>
      <c r="Y106" s="8">
        <f t="shared" si="33"/>
        <v>0</v>
      </c>
      <c r="Z106" s="8">
        <f t="shared" si="34"/>
        <v>0</v>
      </c>
      <c r="AA106" s="9">
        <f t="shared" si="35"/>
        <v>0</v>
      </c>
      <c r="AC106" s="3" t="s">
        <v>554</v>
      </c>
      <c r="AD106" s="3" t="s">
        <v>554</v>
      </c>
      <c r="AE106" s="3" t="s">
        <v>591</v>
      </c>
      <c r="AF106" s="9">
        <f t="shared" si="36"/>
        <v>0</v>
      </c>
    </row>
    <row r="107" spans="1:32" x14ac:dyDescent="0.25">
      <c r="A107" s="22" t="s">
        <v>136</v>
      </c>
      <c r="B107" s="24" t="s">
        <v>397</v>
      </c>
      <c r="D107" s="10">
        <v>0.95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26">
        <v>0</v>
      </c>
      <c r="R107" s="4">
        <f t="shared" si="27"/>
        <v>0</v>
      </c>
      <c r="S107" s="5">
        <f t="shared" si="29"/>
        <v>1.6448536269514715</v>
      </c>
      <c r="T107" s="6">
        <f t="shared" si="30"/>
        <v>0</v>
      </c>
      <c r="U107" s="3">
        <v>1</v>
      </c>
      <c r="V107" s="7">
        <f t="shared" si="28"/>
        <v>0.23076923076923078</v>
      </c>
      <c r="W107" s="18">
        <f t="shared" si="31"/>
        <v>0</v>
      </c>
      <c r="X107" s="19">
        <f t="shared" si="32"/>
        <v>0</v>
      </c>
      <c r="Y107" s="8">
        <f t="shared" si="33"/>
        <v>0</v>
      </c>
      <c r="Z107" s="8">
        <f t="shared" si="34"/>
        <v>0</v>
      </c>
      <c r="AA107" s="9">
        <f t="shared" si="35"/>
        <v>0</v>
      </c>
      <c r="AC107" s="3" t="s">
        <v>554</v>
      </c>
      <c r="AD107" s="3" t="s">
        <v>554</v>
      </c>
      <c r="AE107" s="3" t="s">
        <v>591</v>
      </c>
      <c r="AF107" s="9">
        <f t="shared" si="36"/>
        <v>0</v>
      </c>
    </row>
    <row r="108" spans="1:32" x14ac:dyDescent="0.25">
      <c r="A108" s="21" t="s">
        <v>137</v>
      </c>
      <c r="B108" s="23" t="s">
        <v>398</v>
      </c>
      <c r="D108" s="10">
        <v>0.95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26">
        <v>0</v>
      </c>
      <c r="R108" s="4">
        <f t="shared" si="27"/>
        <v>0</v>
      </c>
      <c r="S108" s="5">
        <f t="shared" si="29"/>
        <v>1.6448536269514715</v>
      </c>
      <c r="T108" s="6">
        <f t="shared" si="30"/>
        <v>0</v>
      </c>
      <c r="U108" s="3">
        <v>1</v>
      </c>
      <c r="V108" s="7">
        <f t="shared" si="28"/>
        <v>0.23076923076923078</v>
      </c>
      <c r="W108" s="18">
        <f t="shared" si="31"/>
        <v>0</v>
      </c>
      <c r="X108" s="19">
        <f t="shared" si="32"/>
        <v>0</v>
      </c>
      <c r="Y108" s="8">
        <f t="shared" si="33"/>
        <v>0</v>
      </c>
      <c r="Z108" s="8">
        <f t="shared" si="34"/>
        <v>0</v>
      </c>
      <c r="AA108" s="9">
        <f t="shared" si="35"/>
        <v>0</v>
      </c>
      <c r="AC108" s="3" t="s">
        <v>554</v>
      </c>
      <c r="AD108" s="3" t="s">
        <v>554</v>
      </c>
      <c r="AE108" s="3" t="s">
        <v>591</v>
      </c>
      <c r="AF108" s="9">
        <f t="shared" si="36"/>
        <v>0</v>
      </c>
    </row>
    <row r="109" spans="1:32" x14ac:dyDescent="0.25">
      <c r="A109" s="22" t="s">
        <v>138</v>
      </c>
      <c r="B109" s="24" t="s">
        <v>399</v>
      </c>
      <c r="D109" s="10">
        <v>0.95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26">
        <v>0</v>
      </c>
      <c r="R109" s="4">
        <f t="shared" si="27"/>
        <v>0</v>
      </c>
      <c r="S109" s="5">
        <f t="shared" si="29"/>
        <v>1.6448536269514715</v>
      </c>
      <c r="T109" s="6">
        <f t="shared" si="30"/>
        <v>0</v>
      </c>
      <c r="U109" s="3">
        <v>1</v>
      </c>
      <c r="V109" s="7">
        <f t="shared" si="28"/>
        <v>0.23076923076923078</v>
      </c>
      <c r="W109" s="18">
        <f t="shared" si="31"/>
        <v>0</v>
      </c>
      <c r="X109" s="19">
        <f t="shared" si="32"/>
        <v>0</v>
      </c>
      <c r="Y109" s="8">
        <f t="shared" si="33"/>
        <v>0</v>
      </c>
      <c r="Z109" s="8">
        <f t="shared" si="34"/>
        <v>0</v>
      </c>
      <c r="AA109" s="9">
        <f t="shared" si="35"/>
        <v>0</v>
      </c>
      <c r="AC109" s="3" t="s">
        <v>554</v>
      </c>
      <c r="AD109" s="3" t="s">
        <v>554</v>
      </c>
      <c r="AE109" s="3" t="s">
        <v>591</v>
      </c>
      <c r="AF109" s="9">
        <f t="shared" si="36"/>
        <v>0</v>
      </c>
    </row>
    <row r="110" spans="1:32" x14ac:dyDescent="0.25">
      <c r="A110" s="21" t="s">
        <v>139</v>
      </c>
      <c r="B110" s="23" t="s">
        <v>400</v>
      </c>
      <c r="D110" s="10">
        <v>0.95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26">
        <v>0</v>
      </c>
      <c r="R110" s="4">
        <f t="shared" si="27"/>
        <v>0</v>
      </c>
      <c r="S110" s="5">
        <f t="shared" si="29"/>
        <v>1.6448536269514715</v>
      </c>
      <c r="T110" s="6">
        <f t="shared" si="30"/>
        <v>0</v>
      </c>
      <c r="U110" s="3">
        <v>1</v>
      </c>
      <c r="V110" s="7">
        <f t="shared" si="28"/>
        <v>0.23076923076923078</v>
      </c>
      <c r="W110" s="18">
        <f t="shared" si="31"/>
        <v>0</v>
      </c>
      <c r="X110" s="19">
        <f t="shared" si="32"/>
        <v>0</v>
      </c>
      <c r="Y110" s="8">
        <f t="shared" si="33"/>
        <v>0</v>
      </c>
      <c r="Z110" s="8">
        <f t="shared" si="34"/>
        <v>0</v>
      </c>
      <c r="AA110" s="9">
        <f t="shared" si="35"/>
        <v>0</v>
      </c>
      <c r="AC110" s="3" t="s">
        <v>554</v>
      </c>
      <c r="AD110" s="3" t="s">
        <v>554</v>
      </c>
      <c r="AE110" s="3" t="s">
        <v>591</v>
      </c>
      <c r="AF110" s="9">
        <f t="shared" si="36"/>
        <v>0</v>
      </c>
    </row>
    <row r="111" spans="1:32" x14ac:dyDescent="0.25">
      <c r="A111" s="22" t="s">
        <v>140</v>
      </c>
      <c r="B111" s="24" t="s">
        <v>401</v>
      </c>
      <c r="D111" s="10">
        <v>0.95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26">
        <v>1</v>
      </c>
      <c r="R111" s="4">
        <f t="shared" si="27"/>
        <v>8.3333333333333329E-2</v>
      </c>
      <c r="S111" s="5">
        <f t="shared" si="29"/>
        <v>1.6448536269514715</v>
      </c>
      <c r="T111" s="6">
        <f t="shared" si="30"/>
        <v>0.28867513459481287</v>
      </c>
      <c r="U111" s="3">
        <v>1</v>
      </c>
      <c r="V111" s="7">
        <f t="shared" si="28"/>
        <v>0.23076923076923078</v>
      </c>
      <c r="W111" s="18">
        <f t="shared" si="31"/>
        <v>1</v>
      </c>
      <c r="X111" s="19">
        <f t="shared" si="32"/>
        <v>0.12255478529739477</v>
      </c>
      <c r="Y111" s="8">
        <f t="shared" si="33"/>
        <v>0</v>
      </c>
      <c r="Z111" s="8">
        <f t="shared" si="34"/>
        <v>1</v>
      </c>
      <c r="AA111" s="9">
        <f t="shared" si="35"/>
        <v>0</v>
      </c>
      <c r="AC111" s="3" t="s">
        <v>554</v>
      </c>
      <c r="AD111" s="3" t="s">
        <v>554</v>
      </c>
      <c r="AE111" s="3" t="s">
        <v>591</v>
      </c>
      <c r="AF111" s="9">
        <f t="shared" si="36"/>
        <v>0</v>
      </c>
    </row>
    <row r="112" spans="1:32" x14ac:dyDescent="0.25">
      <c r="A112" s="21" t="s">
        <v>141</v>
      </c>
      <c r="B112" s="23" t="s">
        <v>402</v>
      </c>
      <c r="D112" s="10">
        <v>0.95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26">
        <v>0</v>
      </c>
      <c r="R112" s="4">
        <f t="shared" si="27"/>
        <v>0</v>
      </c>
      <c r="S112" s="5">
        <f t="shared" si="29"/>
        <v>1.6448536269514715</v>
      </c>
      <c r="T112" s="6">
        <f t="shared" si="30"/>
        <v>0</v>
      </c>
      <c r="U112" s="3">
        <v>1</v>
      </c>
      <c r="V112" s="7">
        <f t="shared" si="28"/>
        <v>0.23076923076923078</v>
      </c>
      <c r="W112" s="18">
        <f t="shared" si="31"/>
        <v>0</v>
      </c>
      <c r="X112" s="19">
        <f t="shared" si="32"/>
        <v>0</v>
      </c>
      <c r="Y112" s="8">
        <f t="shared" si="33"/>
        <v>0</v>
      </c>
      <c r="Z112" s="8">
        <f t="shared" si="34"/>
        <v>0</v>
      </c>
      <c r="AA112" s="9">
        <f t="shared" si="35"/>
        <v>0</v>
      </c>
      <c r="AC112" s="3" t="s">
        <v>554</v>
      </c>
      <c r="AD112" s="3" t="s">
        <v>554</v>
      </c>
      <c r="AE112" s="3" t="s">
        <v>591</v>
      </c>
      <c r="AF112" s="9">
        <f t="shared" si="36"/>
        <v>0</v>
      </c>
    </row>
    <row r="113" spans="1:32" x14ac:dyDescent="0.25">
      <c r="A113" s="22" t="s">
        <v>142</v>
      </c>
      <c r="B113" s="24" t="s">
        <v>403</v>
      </c>
      <c r="D113" s="10">
        <v>0.95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26">
        <v>0</v>
      </c>
      <c r="R113" s="4">
        <f t="shared" si="27"/>
        <v>0</v>
      </c>
      <c r="S113" s="5">
        <f t="shared" si="29"/>
        <v>1.6448536269514715</v>
      </c>
      <c r="T113" s="6">
        <f t="shared" si="30"/>
        <v>0</v>
      </c>
      <c r="U113" s="3">
        <v>1</v>
      </c>
      <c r="V113" s="7">
        <f t="shared" si="28"/>
        <v>0.23076923076923078</v>
      </c>
      <c r="W113" s="18">
        <f t="shared" si="31"/>
        <v>0</v>
      </c>
      <c r="X113" s="19">
        <f t="shared" si="32"/>
        <v>0</v>
      </c>
      <c r="Y113" s="8">
        <f t="shared" si="33"/>
        <v>0</v>
      </c>
      <c r="Z113" s="8">
        <f t="shared" si="34"/>
        <v>0</v>
      </c>
      <c r="AA113" s="9">
        <f t="shared" si="35"/>
        <v>0</v>
      </c>
      <c r="AC113" s="3" t="s">
        <v>554</v>
      </c>
      <c r="AD113" s="3" t="s">
        <v>554</v>
      </c>
      <c r="AE113" s="3" t="s">
        <v>591</v>
      </c>
      <c r="AF113" s="9">
        <f t="shared" si="36"/>
        <v>0</v>
      </c>
    </row>
    <row r="114" spans="1:32" x14ac:dyDescent="0.25">
      <c r="A114" s="21" t="s">
        <v>143</v>
      </c>
      <c r="B114" s="23" t="s">
        <v>404</v>
      </c>
      <c r="D114" s="10">
        <v>0.95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26">
        <v>0</v>
      </c>
      <c r="R114" s="4">
        <f t="shared" si="27"/>
        <v>0</v>
      </c>
      <c r="S114" s="5">
        <f t="shared" si="29"/>
        <v>1.6448536269514715</v>
      </c>
      <c r="T114" s="6">
        <f t="shared" si="30"/>
        <v>0</v>
      </c>
      <c r="U114" s="3">
        <v>1</v>
      </c>
      <c r="V114" s="7">
        <f t="shared" si="28"/>
        <v>0.23076923076923078</v>
      </c>
      <c r="W114" s="18">
        <f t="shared" si="31"/>
        <v>0</v>
      </c>
      <c r="X114" s="19">
        <f t="shared" si="32"/>
        <v>0</v>
      </c>
      <c r="Y114" s="8">
        <f t="shared" si="33"/>
        <v>0</v>
      </c>
      <c r="Z114" s="8">
        <f t="shared" si="34"/>
        <v>0</v>
      </c>
      <c r="AA114" s="9">
        <f t="shared" si="35"/>
        <v>0</v>
      </c>
      <c r="AC114" s="3" t="s">
        <v>554</v>
      </c>
      <c r="AD114" s="3" t="s">
        <v>554</v>
      </c>
      <c r="AE114" s="3" t="s">
        <v>591</v>
      </c>
      <c r="AF114" s="9">
        <f t="shared" si="36"/>
        <v>0</v>
      </c>
    </row>
    <row r="115" spans="1:32" x14ac:dyDescent="0.25">
      <c r="A115" s="22" t="s">
        <v>144</v>
      </c>
      <c r="B115" s="24" t="s">
        <v>405</v>
      </c>
      <c r="D115" s="10">
        <v>0.95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5</v>
      </c>
      <c r="N115" s="1">
        <v>8</v>
      </c>
      <c r="O115" s="1">
        <v>5</v>
      </c>
      <c r="P115" s="1">
        <v>0</v>
      </c>
      <c r="Q115" s="26">
        <v>18</v>
      </c>
      <c r="R115" s="4">
        <f t="shared" si="27"/>
        <v>1.5</v>
      </c>
      <c r="S115" s="5">
        <f t="shared" si="29"/>
        <v>1.6448536269514715</v>
      </c>
      <c r="T115" s="6">
        <f t="shared" si="30"/>
        <v>2.8123105996832765</v>
      </c>
      <c r="U115" s="3">
        <v>1</v>
      </c>
      <c r="V115" s="7">
        <f t="shared" si="28"/>
        <v>0.23076923076923078</v>
      </c>
      <c r="W115" s="18">
        <f t="shared" si="31"/>
        <v>3</v>
      </c>
      <c r="X115" s="19">
        <f t="shared" si="32"/>
        <v>1.6229064242030296</v>
      </c>
      <c r="Y115" s="25">
        <f t="shared" si="33"/>
        <v>2</v>
      </c>
      <c r="Z115" s="25">
        <f t="shared" si="34"/>
        <v>5</v>
      </c>
      <c r="AA115" s="9">
        <f t="shared" si="35"/>
        <v>0</v>
      </c>
      <c r="AC115" s="3" t="s">
        <v>554</v>
      </c>
      <c r="AD115" s="3" t="s">
        <v>554</v>
      </c>
      <c r="AE115" s="3" t="s">
        <v>591</v>
      </c>
      <c r="AF115" s="9">
        <f t="shared" si="36"/>
        <v>0</v>
      </c>
    </row>
    <row r="116" spans="1:32" x14ac:dyDescent="0.25">
      <c r="A116" s="21" t="s">
        <v>145</v>
      </c>
      <c r="B116" s="23" t="s">
        <v>406</v>
      </c>
      <c r="D116" s="10">
        <v>0.95</v>
      </c>
      <c r="E116" s="1">
        <v>8</v>
      </c>
      <c r="F116" s="1">
        <v>2</v>
      </c>
      <c r="G116" s="1">
        <v>7</v>
      </c>
      <c r="H116" s="1">
        <v>3</v>
      </c>
      <c r="I116" s="1">
        <v>13</v>
      </c>
      <c r="J116" s="1">
        <v>27</v>
      </c>
      <c r="K116" s="1">
        <v>5</v>
      </c>
      <c r="L116" s="1">
        <v>0</v>
      </c>
      <c r="M116" s="1">
        <v>8</v>
      </c>
      <c r="N116" s="1">
        <v>3</v>
      </c>
      <c r="O116" s="1">
        <v>6</v>
      </c>
      <c r="P116" s="1">
        <v>5</v>
      </c>
      <c r="Q116" s="26">
        <v>87</v>
      </c>
      <c r="R116" s="4">
        <f t="shared" si="27"/>
        <v>7.25</v>
      </c>
      <c r="S116" s="5">
        <f t="shared" si="29"/>
        <v>1.6448536269514715</v>
      </c>
      <c r="T116" s="6">
        <f t="shared" si="30"/>
        <v>7.0855165975774455</v>
      </c>
      <c r="U116" s="3">
        <v>1</v>
      </c>
      <c r="V116" s="7">
        <f t="shared" si="28"/>
        <v>0.23076923076923078</v>
      </c>
      <c r="W116" s="18">
        <f t="shared" si="31"/>
        <v>6</v>
      </c>
      <c r="X116" s="19">
        <f t="shared" si="32"/>
        <v>5.6633182976451861</v>
      </c>
      <c r="Y116" s="25">
        <f t="shared" si="33"/>
        <v>7</v>
      </c>
      <c r="Z116" s="25">
        <f t="shared" si="34"/>
        <v>13</v>
      </c>
      <c r="AA116" s="9">
        <f t="shared" si="35"/>
        <v>0</v>
      </c>
      <c r="AC116" s="3" t="s">
        <v>570</v>
      </c>
      <c r="AD116" s="3" t="s">
        <v>587</v>
      </c>
      <c r="AE116" s="3" t="s">
        <v>591</v>
      </c>
      <c r="AF116" s="9">
        <f t="shared" si="36"/>
        <v>0</v>
      </c>
    </row>
    <row r="117" spans="1:32" x14ac:dyDescent="0.25">
      <c r="A117" s="22" t="s">
        <v>146</v>
      </c>
      <c r="B117" s="24" t="s">
        <v>407</v>
      </c>
      <c r="D117" s="10">
        <v>0.95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26">
        <v>0</v>
      </c>
      <c r="R117" s="4">
        <f t="shared" si="27"/>
        <v>0</v>
      </c>
      <c r="S117" s="5">
        <f t="shared" si="29"/>
        <v>1.6448536269514715</v>
      </c>
      <c r="T117" s="6">
        <f t="shared" si="30"/>
        <v>0</v>
      </c>
      <c r="U117" s="3">
        <v>1</v>
      </c>
      <c r="V117" s="7">
        <f t="shared" si="28"/>
        <v>0.23076923076923078</v>
      </c>
      <c r="W117" s="18">
        <f t="shared" si="31"/>
        <v>0</v>
      </c>
      <c r="X117" s="19">
        <f t="shared" si="32"/>
        <v>0</v>
      </c>
      <c r="Y117" s="8">
        <f t="shared" si="33"/>
        <v>0</v>
      </c>
      <c r="Z117" s="8">
        <f t="shared" si="34"/>
        <v>0</v>
      </c>
      <c r="AA117" s="9">
        <f t="shared" si="35"/>
        <v>0</v>
      </c>
      <c r="AC117" s="3" t="s">
        <v>554</v>
      </c>
      <c r="AD117" s="3" t="s">
        <v>554</v>
      </c>
      <c r="AE117" s="3" t="s">
        <v>591</v>
      </c>
      <c r="AF117" s="9">
        <f t="shared" si="36"/>
        <v>0</v>
      </c>
    </row>
    <row r="118" spans="1:32" x14ac:dyDescent="0.25">
      <c r="A118" s="21" t="s">
        <v>147</v>
      </c>
      <c r="B118" s="23" t="s">
        <v>408</v>
      </c>
      <c r="D118" s="10">
        <v>0.95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26">
        <v>0</v>
      </c>
      <c r="R118" s="4">
        <f t="shared" si="27"/>
        <v>0</v>
      </c>
      <c r="S118" s="5">
        <f t="shared" si="29"/>
        <v>1.6448536269514715</v>
      </c>
      <c r="T118" s="6">
        <f t="shared" si="30"/>
        <v>0</v>
      </c>
      <c r="U118" s="3">
        <v>1</v>
      </c>
      <c r="V118" s="7">
        <f t="shared" si="28"/>
        <v>0.23076923076923078</v>
      </c>
      <c r="W118" s="18">
        <f t="shared" si="31"/>
        <v>0</v>
      </c>
      <c r="X118" s="19">
        <f t="shared" si="32"/>
        <v>0</v>
      </c>
      <c r="Y118" s="8">
        <f t="shared" si="33"/>
        <v>0</v>
      </c>
      <c r="Z118" s="8">
        <f t="shared" si="34"/>
        <v>0</v>
      </c>
      <c r="AA118" s="9">
        <f t="shared" si="35"/>
        <v>0</v>
      </c>
      <c r="AC118" s="3" t="s">
        <v>554</v>
      </c>
      <c r="AD118" s="3" t="s">
        <v>554</v>
      </c>
      <c r="AE118" s="3" t="s">
        <v>591</v>
      </c>
      <c r="AF118" s="9">
        <f t="shared" si="36"/>
        <v>0</v>
      </c>
    </row>
    <row r="119" spans="1:32" x14ac:dyDescent="0.25">
      <c r="A119" s="22" t="s">
        <v>148</v>
      </c>
      <c r="B119" s="24" t="s">
        <v>409</v>
      </c>
      <c r="D119" s="10">
        <v>0.95</v>
      </c>
      <c r="E119" s="1">
        <v>9</v>
      </c>
      <c r="F119" s="1">
        <v>26</v>
      </c>
      <c r="G119" s="1">
        <v>13</v>
      </c>
      <c r="H119" s="1">
        <v>4</v>
      </c>
      <c r="I119" s="1">
        <v>16</v>
      </c>
      <c r="J119" s="1">
        <v>21</v>
      </c>
      <c r="K119" s="1">
        <v>35</v>
      </c>
      <c r="L119" s="1">
        <v>2</v>
      </c>
      <c r="M119" s="1">
        <v>14</v>
      </c>
      <c r="N119" s="1">
        <v>9</v>
      </c>
      <c r="O119" s="1">
        <v>22</v>
      </c>
      <c r="P119" s="1">
        <v>11</v>
      </c>
      <c r="Q119" s="26">
        <v>182</v>
      </c>
      <c r="R119" s="4">
        <f t="shared" si="27"/>
        <v>15.166666666666666</v>
      </c>
      <c r="S119" s="5">
        <f t="shared" si="29"/>
        <v>1.6448536269514715</v>
      </c>
      <c r="T119" s="6">
        <f t="shared" si="30"/>
        <v>9.4852357361162589</v>
      </c>
      <c r="U119" s="3">
        <v>1</v>
      </c>
      <c r="V119" s="7">
        <f t="shared" si="28"/>
        <v>0.23076923076923078</v>
      </c>
      <c r="W119" s="18">
        <f t="shared" si="31"/>
        <v>8</v>
      </c>
      <c r="X119" s="19">
        <f t="shared" si="32"/>
        <v>9.4773156060882666</v>
      </c>
      <c r="Y119" s="8">
        <f t="shared" si="33"/>
        <v>13</v>
      </c>
      <c r="Z119" s="8">
        <f t="shared" si="34"/>
        <v>21</v>
      </c>
      <c r="AA119" s="9">
        <f t="shared" si="35"/>
        <v>0</v>
      </c>
      <c r="AC119" s="3" t="s">
        <v>571</v>
      </c>
      <c r="AD119" s="3" t="s">
        <v>562</v>
      </c>
      <c r="AE119" s="3" t="s">
        <v>591</v>
      </c>
      <c r="AF119" s="9">
        <f t="shared" si="36"/>
        <v>0</v>
      </c>
    </row>
    <row r="120" spans="1:32" x14ac:dyDescent="0.25">
      <c r="A120" s="21" t="s">
        <v>149</v>
      </c>
      <c r="B120" s="23" t="s">
        <v>410</v>
      </c>
      <c r="D120" s="10">
        <v>0.95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26">
        <v>0</v>
      </c>
      <c r="R120" s="4">
        <f t="shared" si="27"/>
        <v>0</v>
      </c>
      <c r="S120" s="5">
        <f t="shared" si="29"/>
        <v>1.6448536269514715</v>
      </c>
      <c r="T120" s="6">
        <f t="shared" si="30"/>
        <v>0</v>
      </c>
      <c r="U120" s="3">
        <v>1</v>
      </c>
      <c r="V120" s="7">
        <f t="shared" si="28"/>
        <v>0.23076923076923078</v>
      </c>
      <c r="W120" s="18">
        <f t="shared" si="31"/>
        <v>0</v>
      </c>
      <c r="X120" s="19">
        <f t="shared" si="32"/>
        <v>0</v>
      </c>
      <c r="Y120" s="8">
        <f t="shared" si="33"/>
        <v>0</v>
      </c>
      <c r="Z120" s="8">
        <f t="shared" si="34"/>
        <v>0</v>
      </c>
      <c r="AA120" s="9">
        <f t="shared" si="35"/>
        <v>0</v>
      </c>
      <c r="AC120" s="3" t="s">
        <v>554</v>
      </c>
      <c r="AD120" s="3" t="s">
        <v>554</v>
      </c>
      <c r="AE120" s="3" t="s">
        <v>591</v>
      </c>
      <c r="AF120" s="9">
        <f t="shared" si="36"/>
        <v>0</v>
      </c>
    </row>
    <row r="121" spans="1:32" x14ac:dyDescent="0.25">
      <c r="A121" s="22" t="s">
        <v>150</v>
      </c>
      <c r="B121" s="24" t="s">
        <v>411</v>
      </c>
      <c r="D121" s="10">
        <v>0.95</v>
      </c>
      <c r="E121" s="1">
        <v>6</v>
      </c>
      <c r="F121" s="1">
        <v>11</v>
      </c>
      <c r="G121" s="1">
        <v>4</v>
      </c>
      <c r="H121" s="1">
        <v>3</v>
      </c>
      <c r="I121" s="1">
        <v>11</v>
      </c>
      <c r="J121" s="1">
        <v>6</v>
      </c>
      <c r="K121" s="1">
        <v>14</v>
      </c>
      <c r="L121" s="1">
        <v>32</v>
      </c>
      <c r="M121" s="1">
        <v>28</v>
      </c>
      <c r="N121" s="1">
        <v>14</v>
      </c>
      <c r="O121" s="1">
        <v>12</v>
      </c>
      <c r="P121" s="1">
        <v>30</v>
      </c>
      <c r="Q121" s="26">
        <v>171</v>
      </c>
      <c r="R121" s="4">
        <f t="shared" si="27"/>
        <v>14.25</v>
      </c>
      <c r="S121" s="5">
        <f t="shared" si="29"/>
        <v>1.6448536269514715</v>
      </c>
      <c r="T121" s="6">
        <f t="shared" si="30"/>
        <v>10.208062766977163</v>
      </c>
      <c r="U121" s="3">
        <v>1</v>
      </c>
      <c r="V121" s="7">
        <f t="shared" si="28"/>
        <v>0.23076923076923078</v>
      </c>
      <c r="W121" s="18">
        <f t="shared" si="31"/>
        <v>9</v>
      </c>
      <c r="X121" s="19">
        <f t="shared" si="32"/>
        <v>9.5300527836645781</v>
      </c>
      <c r="Y121" s="25">
        <f t="shared" si="33"/>
        <v>13</v>
      </c>
      <c r="Z121" s="25">
        <f t="shared" si="34"/>
        <v>22</v>
      </c>
      <c r="AA121" s="9">
        <f t="shared" si="35"/>
        <v>0</v>
      </c>
      <c r="AC121" s="3" t="s">
        <v>572</v>
      </c>
      <c r="AD121" s="3" t="s">
        <v>588</v>
      </c>
      <c r="AE121" s="3" t="s">
        <v>557</v>
      </c>
      <c r="AF121" s="9">
        <f t="shared" si="36"/>
        <v>0</v>
      </c>
    </row>
    <row r="122" spans="1:32" x14ac:dyDescent="0.25">
      <c r="A122" s="21" t="s">
        <v>151</v>
      </c>
      <c r="B122" s="23" t="s">
        <v>412</v>
      </c>
      <c r="D122" s="10">
        <v>0.95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26">
        <v>0</v>
      </c>
      <c r="R122" s="4">
        <f t="shared" si="27"/>
        <v>0</v>
      </c>
      <c r="S122" s="5">
        <f t="shared" si="29"/>
        <v>1.6448536269514715</v>
      </c>
      <c r="T122" s="6">
        <f t="shared" si="30"/>
        <v>0</v>
      </c>
      <c r="U122" s="3">
        <v>1</v>
      </c>
      <c r="V122" s="7">
        <f t="shared" si="28"/>
        <v>0.23076923076923078</v>
      </c>
      <c r="W122" s="18">
        <f t="shared" si="31"/>
        <v>0</v>
      </c>
      <c r="X122" s="19">
        <f t="shared" si="32"/>
        <v>0</v>
      </c>
      <c r="Y122" s="8">
        <f t="shared" si="33"/>
        <v>0</v>
      </c>
      <c r="Z122" s="8">
        <f t="shared" si="34"/>
        <v>0</v>
      </c>
      <c r="AA122" s="9">
        <f t="shared" si="35"/>
        <v>0</v>
      </c>
      <c r="AC122" s="3" t="s">
        <v>554</v>
      </c>
      <c r="AD122" s="3" t="s">
        <v>554</v>
      </c>
      <c r="AE122" s="3" t="s">
        <v>591</v>
      </c>
      <c r="AF122" s="9">
        <f t="shared" si="36"/>
        <v>0</v>
      </c>
    </row>
    <row r="123" spans="1:32" x14ac:dyDescent="0.25">
      <c r="A123" s="22" t="s">
        <v>152</v>
      </c>
      <c r="B123" s="24" t="s">
        <v>413</v>
      </c>
      <c r="D123" s="10">
        <v>0.95</v>
      </c>
      <c r="E123" s="1">
        <v>4</v>
      </c>
      <c r="F123" s="1">
        <v>2</v>
      </c>
      <c r="G123" s="1">
        <v>0</v>
      </c>
      <c r="H123" s="1">
        <v>0</v>
      </c>
      <c r="I123" s="1">
        <v>7</v>
      </c>
      <c r="J123" s="1">
        <v>7</v>
      </c>
      <c r="K123" s="1">
        <v>41</v>
      </c>
      <c r="L123" s="1">
        <v>10</v>
      </c>
      <c r="M123" s="1">
        <v>1</v>
      </c>
      <c r="N123" s="1">
        <v>11</v>
      </c>
      <c r="O123" s="1">
        <v>10</v>
      </c>
      <c r="P123" s="1">
        <v>27</v>
      </c>
      <c r="Q123" s="26">
        <v>120</v>
      </c>
      <c r="R123" s="4">
        <f t="shared" si="27"/>
        <v>10</v>
      </c>
      <c r="S123" s="5">
        <f t="shared" si="29"/>
        <v>1.6448536269514715</v>
      </c>
      <c r="T123" s="6">
        <f t="shared" si="30"/>
        <v>12.24744871391589</v>
      </c>
      <c r="U123" s="3">
        <v>1</v>
      </c>
      <c r="V123" s="7">
        <f t="shared" si="28"/>
        <v>0.23076923076923078</v>
      </c>
      <c r="W123" s="18">
        <f t="shared" si="31"/>
        <v>10</v>
      </c>
      <c r="X123" s="19">
        <f t="shared" si="32"/>
        <v>8.7445813591975661</v>
      </c>
      <c r="Y123" s="25">
        <f t="shared" si="33"/>
        <v>11</v>
      </c>
      <c r="Z123" s="25">
        <f t="shared" si="34"/>
        <v>21</v>
      </c>
      <c r="AA123" s="9">
        <f t="shared" si="35"/>
        <v>0</v>
      </c>
      <c r="AC123" s="3" t="s">
        <v>573</v>
      </c>
      <c r="AD123" s="3" t="s">
        <v>589</v>
      </c>
      <c r="AE123" s="3" t="s">
        <v>577</v>
      </c>
      <c r="AF123" s="9">
        <f t="shared" si="36"/>
        <v>0</v>
      </c>
    </row>
    <row r="124" spans="1:32" x14ac:dyDescent="0.25">
      <c r="A124" s="21" t="s">
        <v>153</v>
      </c>
      <c r="B124" s="23" t="s">
        <v>414</v>
      </c>
      <c r="D124" s="10">
        <v>0.95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26">
        <v>0</v>
      </c>
      <c r="R124" s="4">
        <f t="shared" si="27"/>
        <v>0</v>
      </c>
      <c r="S124" s="5">
        <f t="shared" si="29"/>
        <v>1.6448536269514715</v>
      </c>
      <c r="T124" s="6">
        <f t="shared" si="30"/>
        <v>0</v>
      </c>
      <c r="U124" s="3">
        <v>1</v>
      </c>
      <c r="V124" s="7">
        <f t="shared" si="28"/>
        <v>0.23076923076923078</v>
      </c>
      <c r="W124" s="18">
        <f t="shared" si="31"/>
        <v>0</v>
      </c>
      <c r="X124" s="19">
        <f t="shared" si="32"/>
        <v>0</v>
      </c>
      <c r="Y124" s="8">
        <f t="shared" si="33"/>
        <v>0</v>
      </c>
      <c r="Z124" s="8">
        <f t="shared" si="34"/>
        <v>0</v>
      </c>
      <c r="AA124" s="9">
        <f t="shared" si="35"/>
        <v>0</v>
      </c>
      <c r="AC124" s="3" t="s">
        <v>554</v>
      </c>
      <c r="AD124" s="3" t="s">
        <v>554</v>
      </c>
      <c r="AE124" s="3" t="s">
        <v>591</v>
      </c>
      <c r="AF124" s="9">
        <f t="shared" si="36"/>
        <v>0</v>
      </c>
    </row>
    <row r="125" spans="1:32" x14ac:dyDescent="0.25">
      <c r="A125" s="22" t="s">
        <v>154</v>
      </c>
      <c r="B125" s="24" t="s">
        <v>415</v>
      </c>
      <c r="D125" s="10">
        <v>0.95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26">
        <v>0</v>
      </c>
      <c r="R125" s="4">
        <f t="shared" si="27"/>
        <v>0</v>
      </c>
      <c r="S125" s="5">
        <f t="shared" si="29"/>
        <v>1.6448536269514715</v>
      </c>
      <c r="T125" s="6">
        <f t="shared" si="30"/>
        <v>0</v>
      </c>
      <c r="U125" s="3">
        <v>1</v>
      </c>
      <c r="V125" s="7">
        <f t="shared" si="28"/>
        <v>0.23076923076923078</v>
      </c>
      <c r="W125" s="18">
        <f t="shared" si="31"/>
        <v>0</v>
      </c>
      <c r="X125" s="19">
        <f t="shared" si="32"/>
        <v>0</v>
      </c>
      <c r="Y125" s="8">
        <f t="shared" si="33"/>
        <v>0</v>
      </c>
      <c r="Z125" s="8">
        <f t="shared" si="34"/>
        <v>0</v>
      </c>
      <c r="AA125" s="9">
        <f t="shared" si="35"/>
        <v>0</v>
      </c>
      <c r="AC125" s="3" t="s">
        <v>554</v>
      </c>
      <c r="AD125" s="3" t="s">
        <v>554</v>
      </c>
      <c r="AE125" s="3" t="s">
        <v>591</v>
      </c>
      <c r="AF125" s="9">
        <f t="shared" si="36"/>
        <v>0</v>
      </c>
    </row>
    <row r="126" spans="1:32" x14ac:dyDescent="0.25">
      <c r="A126" s="21" t="s">
        <v>155</v>
      </c>
      <c r="B126" s="23" t="s">
        <v>416</v>
      </c>
      <c r="D126" s="10">
        <v>0.95</v>
      </c>
      <c r="E126" s="1">
        <v>31</v>
      </c>
      <c r="F126" s="1">
        <v>10</v>
      </c>
      <c r="G126" s="1">
        <v>13</v>
      </c>
      <c r="H126" s="1">
        <v>11</v>
      </c>
      <c r="I126" s="1">
        <v>5</v>
      </c>
      <c r="J126" s="1">
        <v>27</v>
      </c>
      <c r="K126" s="1">
        <v>25</v>
      </c>
      <c r="L126" s="1">
        <v>24</v>
      </c>
      <c r="M126" s="1">
        <v>16</v>
      </c>
      <c r="N126" s="1">
        <v>14</v>
      </c>
      <c r="O126" s="1">
        <v>19</v>
      </c>
      <c r="P126" s="1">
        <v>31</v>
      </c>
      <c r="Q126" s="26">
        <v>226</v>
      </c>
      <c r="R126" s="4">
        <f t="shared" si="27"/>
        <v>18.833333333333332</v>
      </c>
      <c r="S126" s="5">
        <f t="shared" si="29"/>
        <v>1.6448536269514715</v>
      </c>
      <c r="T126" s="6">
        <f t="shared" si="30"/>
        <v>8.6532530229265756</v>
      </c>
      <c r="U126" s="3">
        <v>1</v>
      </c>
      <c r="V126" s="7">
        <f t="shared" si="28"/>
        <v>0.23076923076923078</v>
      </c>
      <c r="W126" s="18">
        <f t="shared" si="31"/>
        <v>7</v>
      </c>
      <c r="X126" s="19">
        <f t="shared" si="32"/>
        <v>10.087173851800358</v>
      </c>
      <c r="Y126" s="25">
        <f t="shared" si="33"/>
        <v>14</v>
      </c>
      <c r="Z126" s="25">
        <f t="shared" si="34"/>
        <v>21</v>
      </c>
      <c r="AA126" s="9">
        <f t="shared" si="35"/>
        <v>0</v>
      </c>
      <c r="AC126" s="3" t="s">
        <v>574</v>
      </c>
      <c r="AD126" s="3" t="s">
        <v>589</v>
      </c>
      <c r="AE126" s="3" t="s">
        <v>579</v>
      </c>
      <c r="AF126" s="9">
        <f t="shared" si="36"/>
        <v>0</v>
      </c>
    </row>
    <row r="127" spans="1:32" x14ac:dyDescent="0.25">
      <c r="A127" s="22" t="s">
        <v>156</v>
      </c>
      <c r="B127" s="24" t="s">
        <v>417</v>
      </c>
      <c r="D127" s="10">
        <v>0.95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  <c r="P127" s="1">
        <v>0</v>
      </c>
      <c r="Q127" s="26">
        <v>1</v>
      </c>
      <c r="R127" s="4">
        <f t="shared" si="27"/>
        <v>8.3333333333333329E-2</v>
      </c>
      <c r="S127" s="5">
        <f t="shared" si="29"/>
        <v>1.6448536269514715</v>
      </c>
      <c r="T127" s="6">
        <f t="shared" si="30"/>
        <v>0.28867513459481287</v>
      </c>
      <c r="U127" s="3">
        <v>1</v>
      </c>
      <c r="V127" s="7">
        <f t="shared" si="28"/>
        <v>0.23076923076923078</v>
      </c>
      <c r="W127" s="18">
        <f t="shared" si="31"/>
        <v>1</v>
      </c>
      <c r="X127" s="19">
        <f t="shared" si="32"/>
        <v>0.12255478529739477</v>
      </c>
      <c r="Y127" s="8">
        <f t="shared" si="33"/>
        <v>0</v>
      </c>
      <c r="Z127" s="8">
        <f t="shared" si="34"/>
        <v>1</v>
      </c>
      <c r="AA127" s="9">
        <f t="shared" si="35"/>
        <v>0</v>
      </c>
      <c r="AC127" s="3" t="s">
        <v>554</v>
      </c>
      <c r="AD127" s="3" t="s">
        <v>554</v>
      </c>
      <c r="AE127" s="3" t="s">
        <v>591</v>
      </c>
      <c r="AF127" s="9">
        <f t="shared" si="36"/>
        <v>0</v>
      </c>
    </row>
    <row r="128" spans="1:32" x14ac:dyDescent="0.25">
      <c r="A128" s="21" t="s">
        <v>157</v>
      </c>
      <c r="B128" s="23" t="s">
        <v>418</v>
      </c>
      <c r="D128" s="10">
        <v>0.95</v>
      </c>
      <c r="E128" s="1">
        <v>3</v>
      </c>
      <c r="F128" s="1">
        <v>0</v>
      </c>
      <c r="G128" s="1">
        <v>2</v>
      </c>
      <c r="H128" s="1">
        <v>4</v>
      </c>
      <c r="I128" s="1">
        <v>4</v>
      </c>
      <c r="J128" s="1">
        <v>0</v>
      </c>
      <c r="K128" s="1">
        <v>0</v>
      </c>
      <c r="L128" s="1">
        <v>1</v>
      </c>
      <c r="M128" s="1">
        <v>3</v>
      </c>
      <c r="N128" s="1">
        <v>0</v>
      </c>
      <c r="O128" s="1">
        <v>2</v>
      </c>
      <c r="P128" s="1">
        <v>0</v>
      </c>
      <c r="Q128" s="26">
        <v>19</v>
      </c>
      <c r="R128" s="4">
        <f t="shared" si="27"/>
        <v>1.5833333333333333</v>
      </c>
      <c r="S128" s="5">
        <f t="shared" si="29"/>
        <v>1.6448536269514715</v>
      </c>
      <c r="T128" s="6">
        <f t="shared" si="30"/>
        <v>1.6213537179739277</v>
      </c>
      <c r="U128" s="3">
        <v>1</v>
      </c>
      <c r="V128" s="7">
        <f t="shared" si="28"/>
        <v>0.23076923076923078</v>
      </c>
      <c r="W128" s="18">
        <f t="shared" si="31"/>
        <v>2</v>
      </c>
      <c r="X128" s="19">
        <f t="shared" si="32"/>
        <v>1.2660220546620298</v>
      </c>
      <c r="Y128" s="25">
        <f t="shared" si="33"/>
        <v>2</v>
      </c>
      <c r="Z128" s="25">
        <f t="shared" si="34"/>
        <v>4</v>
      </c>
      <c r="AA128" s="9">
        <f t="shared" si="35"/>
        <v>0</v>
      </c>
      <c r="AC128" s="3" t="s">
        <v>555</v>
      </c>
      <c r="AD128" s="3" t="s">
        <v>557</v>
      </c>
      <c r="AE128" s="3" t="s">
        <v>591</v>
      </c>
      <c r="AF128" s="9">
        <f t="shared" si="36"/>
        <v>0</v>
      </c>
    </row>
    <row r="129" spans="1:32" x14ac:dyDescent="0.25">
      <c r="A129" s="22" t="s">
        <v>158</v>
      </c>
      <c r="B129" s="24" t="s">
        <v>419</v>
      </c>
      <c r="D129" s="10">
        <v>0.95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26">
        <v>0</v>
      </c>
      <c r="R129" s="4">
        <f t="shared" si="27"/>
        <v>0</v>
      </c>
      <c r="S129" s="5">
        <f t="shared" si="29"/>
        <v>1.6448536269514715</v>
      </c>
      <c r="T129" s="6">
        <f t="shared" si="30"/>
        <v>0</v>
      </c>
      <c r="U129" s="3">
        <v>1</v>
      </c>
      <c r="V129" s="7">
        <f t="shared" si="28"/>
        <v>0.23076923076923078</v>
      </c>
      <c r="W129" s="18">
        <f t="shared" si="31"/>
        <v>0</v>
      </c>
      <c r="X129" s="19">
        <f t="shared" si="32"/>
        <v>0</v>
      </c>
      <c r="Y129" s="8">
        <f t="shared" si="33"/>
        <v>0</v>
      </c>
      <c r="Z129" s="8">
        <f t="shared" si="34"/>
        <v>0</v>
      </c>
      <c r="AA129" s="9">
        <f t="shared" si="35"/>
        <v>0</v>
      </c>
      <c r="AC129" s="3" t="s">
        <v>554</v>
      </c>
      <c r="AD129" s="3" t="s">
        <v>554</v>
      </c>
      <c r="AE129" s="3" t="s">
        <v>591</v>
      </c>
      <c r="AF129" s="9">
        <f t="shared" si="36"/>
        <v>0</v>
      </c>
    </row>
    <row r="130" spans="1:32" x14ac:dyDescent="0.25">
      <c r="A130" s="21" t="s">
        <v>159</v>
      </c>
      <c r="B130" s="23" t="s">
        <v>420</v>
      </c>
      <c r="D130" s="10">
        <v>0.95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26">
        <v>0</v>
      </c>
      <c r="R130" s="4">
        <f t="shared" si="27"/>
        <v>0</v>
      </c>
      <c r="S130" s="5">
        <f t="shared" si="29"/>
        <v>1.6448536269514715</v>
      </c>
      <c r="T130" s="6">
        <f t="shared" si="30"/>
        <v>0</v>
      </c>
      <c r="U130" s="3">
        <v>1</v>
      </c>
      <c r="V130" s="7">
        <f t="shared" si="28"/>
        <v>0.23076923076923078</v>
      </c>
      <c r="W130" s="18">
        <f t="shared" si="31"/>
        <v>0</v>
      </c>
      <c r="X130" s="19">
        <f t="shared" si="32"/>
        <v>0</v>
      </c>
      <c r="Y130" s="8">
        <f t="shared" si="33"/>
        <v>0</v>
      </c>
      <c r="Z130" s="8">
        <f t="shared" si="34"/>
        <v>0</v>
      </c>
      <c r="AA130" s="9">
        <f t="shared" si="35"/>
        <v>0</v>
      </c>
      <c r="AC130" s="3" t="s">
        <v>554</v>
      </c>
      <c r="AD130" s="3" t="s">
        <v>554</v>
      </c>
      <c r="AE130" s="3" t="s">
        <v>591</v>
      </c>
      <c r="AF130" s="9">
        <f t="shared" si="36"/>
        <v>0</v>
      </c>
    </row>
    <row r="131" spans="1:32" x14ac:dyDescent="0.25">
      <c r="A131" s="22" t="s">
        <v>160</v>
      </c>
      <c r="B131" s="24" t="s">
        <v>421</v>
      </c>
      <c r="D131" s="10">
        <v>0.95</v>
      </c>
      <c r="E131" s="1">
        <v>20</v>
      </c>
      <c r="F131" s="1">
        <v>0</v>
      </c>
      <c r="G131" s="1">
        <v>0</v>
      </c>
      <c r="H131" s="1">
        <v>6</v>
      </c>
      <c r="I131" s="1">
        <v>3</v>
      </c>
      <c r="J131" s="1">
        <v>0</v>
      </c>
      <c r="K131" s="1">
        <v>0</v>
      </c>
      <c r="L131" s="1">
        <v>1</v>
      </c>
      <c r="M131" s="1">
        <v>4</v>
      </c>
      <c r="N131" s="1">
        <v>12</v>
      </c>
      <c r="O131" s="1">
        <v>2</v>
      </c>
      <c r="P131" s="1">
        <v>0</v>
      </c>
      <c r="Q131" s="26">
        <v>48</v>
      </c>
      <c r="R131" s="4">
        <f t="shared" ref="R131:R194" si="37">Q131/12</f>
        <v>4</v>
      </c>
      <c r="S131" s="5">
        <f t="shared" si="29"/>
        <v>1.6448536269514715</v>
      </c>
      <c r="T131" s="6">
        <f t="shared" si="30"/>
        <v>6.164414002968976</v>
      </c>
      <c r="U131" s="3">
        <v>1</v>
      </c>
      <c r="V131" s="7">
        <f t="shared" ref="V131:V194" si="38">U131/52*12</f>
        <v>0.23076923076923078</v>
      </c>
      <c r="W131" s="18">
        <f t="shared" si="31"/>
        <v>5</v>
      </c>
      <c r="X131" s="19">
        <f t="shared" si="32"/>
        <v>3.9236666471044814</v>
      </c>
      <c r="Y131" s="8">
        <f t="shared" si="33"/>
        <v>5</v>
      </c>
      <c r="Z131" s="8">
        <f t="shared" si="34"/>
        <v>10</v>
      </c>
      <c r="AA131" s="9">
        <f t="shared" si="35"/>
        <v>0</v>
      </c>
      <c r="AC131" s="3" t="s">
        <v>555</v>
      </c>
      <c r="AD131" s="3" t="s">
        <v>557</v>
      </c>
      <c r="AE131" s="3" t="s">
        <v>591</v>
      </c>
      <c r="AF131" s="9">
        <f t="shared" si="36"/>
        <v>0</v>
      </c>
    </row>
    <row r="132" spans="1:32" x14ac:dyDescent="0.25">
      <c r="A132" s="21" t="s">
        <v>161</v>
      </c>
      <c r="B132" s="23" t="s">
        <v>422</v>
      </c>
      <c r="D132" s="10">
        <v>0.95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26">
        <v>0</v>
      </c>
      <c r="R132" s="4">
        <f t="shared" si="37"/>
        <v>0</v>
      </c>
      <c r="S132" s="5">
        <f t="shared" si="29"/>
        <v>1.6448536269514715</v>
      </c>
      <c r="T132" s="6">
        <f t="shared" si="30"/>
        <v>0</v>
      </c>
      <c r="U132" s="3">
        <v>1</v>
      </c>
      <c r="V132" s="7">
        <f t="shared" si="38"/>
        <v>0.23076923076923078</v>
      </c>
      <c r="W132" s="18">
        <f t="shared" si="31"/>
        <v>0</v>
      </c>
      <c r="X132" s="19">
        <f t="shared" si="32"/>
        <v>0</v>
      </c>
      <c r="Y132" s="8">
        <f t="shared" si="33"/>
        <v>0</v>
      </c>
      <c r="Z132" s="8">
        <f t="shared" si="34"/>
        <v>0</v>
      </c>
      <c r="AA132" s="9">
        <f t="shared" si="35"/>
        <v>0</v>
      </c>
      <c r="AC132" s="3" t="s">
        <v>554</v>
      </c>
      <c r="AD132" s="3" t="s">
        <v>554</v>
      </c>
      <c r="AE132" s="3" t="s">
        <v>591</v>
      </c>
      <c r="AF132" s="9">
        <f t="shared" si="36"/>
        <v>0</v>
      </c>
    </row>
    <row r="133" spans="1:32" x14ac:dyDescent="0.25">
      <c r="A133" s="22" t="s">
        <v>162</v>
      </c>
      <c r="B133" s="24" t="s">
        <v>423</v>
      </c>
      <c r="D133" s="10">
        <v>0.95</v>
      </c>
      <c r="E133" s="1">
        <v>1</v>
      </c>
      <c r="F133" s="1">
        <v>0</v>
      </c>
      <c r="G133" s="1">
        <v>0</v>
      </c>
      <c r="H133" s="1">
        <v>0</v>
      </c>
      <c r="I133" s="1">
        <v>2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  <c r="O133" s="1">
        <v>3</v>
      </c>
      <c r="P133" s="1">
        <v>8</v>
      </c>
      <c r="Q133" s="26">
        <v>15</v>
      </c>
      <c r="R133" s="4">
        <f t="shared" si="37"/>
        <v>1.25</v>
      </c>
      <c r="S133" s="5">
        <f t="shared" si="29"/>
        <v>1.6448536269514715</v>
      </c>
      <c r="T133" s="6">
        <f t="shared" si="30"/>
        <v>2.3403573930647275</v>
      </c>
      <c r="U133" s="3">
        <v>1</v>
      </c>
      <c r="V133" s="7">
        <f t="shared" si="38"/>
        <v>0.23076923076923078</v>
      </c>
      <c r="W133" s="18">
        <f t="shared" si="31"/>
        <v>2</v>
      </c>
      <c r="X133" s="19">
        <f t="shared" si="32"/>
        <v>1.3514883489050074</v>
      </c>
      <c r="Y133" s="25">
        <f t="shared" si="33"/>
        <v>2</v>
      </c>
      <c r="Z133" s="25">
        <f t="shared" si="34"/>
        <v>4</v>
      </c>
      <c r="AA133" s="9">
        <f t="shared" si="35"/>
        <v>0</v>
      </c>
      <c r="AC133" s="3" t="s">
        <v>561</v>
      </c>
      <c r="AD133" s="3" t="s">
        <v>557</v>
      </c>
      <c r="AE133" s="3" t="s">
        <v>591</v>
      </c>
      <c r="AF133" s="9">
        <f t="shared" si="36"/>
        <v>0</v>
      </c>
    </row>
    <row r="134" spans="1:32" x14ac:dyDescent="0.25">
      <c r="A134" s="21" t="s">
        <v>163</v>
      </c>
      <c r="B134" s="23" t="s">
        <v>424</v>
      </c>
      <c r="D134" s="10">
        <v>0.95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26">
        <v>0</v>
      </c>
      <c r="R134" s="4">
        <f t="shared" si="37"/>
        <v>0</v>
      </c>
      <c r="S134" s="5">
        <f t="shared" si="29"/>
        <v>1.6448536269514715</v>
      </c>
      <c r="T134" s="6">
        <f t="shared" si="30"/>
        <v>0</v>
      </c>
      <c r="U134" s="3">
        <v>1</v>
      </c>
      <c r="V134" s="7">
        <f t="shared" si="38"/>
        <v>0.23076923076923078</v>
      </c>
      <c r="W134" s="18">
        <f t="shared" si="31"/>
        <v>0</v>
      </c>
      <c r="X134" s="19">
        <f t="shared" si="32"/>
        <v>0</v>
      </c>
      <c r="Y134" s="8">
        <f t="shared" si="33"/>
        <v>0</v>
      </c>
      <c r="Z134" s="8">
        <f t="shared" si="34"/>
        <v>0</v>
      </c>
      <c r="AA134" s="9">
        <f t="shared" si="35"/>
        <v>0</v>
      </c>
      <c r="AC134" s="3" t="s">
        <v>554</v>
      </c>
      <c r="AD134" s="3" t="s">
        <v>554</v>
      </c>
      <c r="AE134" s="3" t="s">
        <v>591</v>
      </c>
      <c r="AF134" s="9">
        <f t="shared" si="36"/>
        <v>0</v>
      </c>
    </row>
    <row r="135" spans="1:32" x14ac:dyDescent="0.25">
      <c r="A135" s="22" t="s">
        <v>164</v>
      </c>
      <c r="B135" s="24" t="s">
        <v>425</v>
      </c>
      <c r="D135" s="10">
        <v>0.95</v>
      </c>
      <c r="E135" s="1">
        <v>2</v>
      </c>
      <c r="F135" s="1">
        <v>1</v>
      </c>
      <c r="G135" s="1">
        <v>0</v>
      </c>
      <c r="H135" s="1">
        <v>0</v>
      </c>
      <c r="I135" s="1">
        <v>2</v>
      </c>
      <c r="J135" s="1">
        <v>1</v>
      </c>
      <c r="K135" s="1">
        <v>5</v>
      </c>
      <c r="L135" s="1">
        <v>0</v>
      </c>
      <c r="M135" s="1">
        <v>2</v>
      </c>
      <c r="N135" s="1">
        <v>3</v>
      </c>
      <c r="O135" s="1">
        <v>4</v>
      </c>
      <c r="P135" s="1">
        <v>10</v>
      </c>
      <c r="Q135" s="26">
        <v>30</v>
      </c>
      <c r="R135" s="4">
        <f t="shared" si="37"/>
        <v>2.5</v>
      </c>
      <c r="S135" s="5">
        <f t="shared" si="29"/>
        <v>1.6448536269514715</v>
      </c>
      <c r="T135" s="6">
        <f t="shared" si="30"/>
        <v>2.8444523358476395</v>
      </c>
      <c r="U135" s="3">
        <v>1</v>
      </c>
      <c r="V135" s="7">
        <f t="shared" si="38"/>
        <v>0.23076923076923078</v>
      </c>
      <c r="W135" s="18">
        <f t="shared" si="31"/>
        <v>3</v>
      </c>
      <c r="X135" s="19">
        <f t="shared" si="32"/>
        <v>2.1071019193896547</v>
      </c>
      <c r="Y135" s="25">
        <f t="shared" si="33"/>
        <v>3</v>
      </c>
      <c r="Z135" s="25">
        <f t="shared" si="34"/>
        <v>6</v>
      </c>
      <c r="AA135" s="9">
        <f t="shared" si="35"/>
        <v>0</v>
      </c>
      <c r="AC135" s="3" t="s">
        <v>555</v>
      </c>
      <c r="AD135" s="3" t="s">
        <v>557</v>
      </c>
      <c r="AE135" s="3" t="s">
        <v>553</v>
      </c>
      <c r="AF135" s="9">
        <f t="shared" si="36"/>
        <v>0</v>
      </c>
    </row>
    <row r="136" spans="1:32" x14ac:dyDescent="0.25">
      <c r="A136" s="21" t="s">
        <v>165</v>
      </c>
      <c r="B136" s="23" t="s">
        <v>426</v>
      </c>
      <c r="D136" s="10">
        <v>0.95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26">
        <v>0</v>
      </c>
      <c r="R136" s="4">
        <f t="shared" si="37"/>
        <v>0</v>
      </c>
      <c r="S136" s="5">
        <f t="shared" si="29"/>
        <v>1.6448536269514715</v>
      </c>
      <c r="T136" s="6">
        <f t="shared" si="30"/>
        <v>0</v>
      </c>
      <c r="U136" s="3">
        <v>1</v>
      </c>
      <c r="V136" s="7">
        <f t="shared" si="38"/>
        <v>0.23076923076923078</v>
      </c>
      <c r="W136" s="18">
        <f t="shared" si="31"/>
        <v>0</v>
      </c>
      <c r="X136" s="19">
        <f t="shared" si="32"/>
        <v>0</v>
      </c>
      <c r="Y136" s="8">
        <f t="shared" si="33"/>
        <v>0</v>
      </c>
      <c r="Z136" s="8">
        <f t="shared" si="34"/>
        <v>0</v>
      </c>
      <c r="AA136" s="9">
        <f t="shared" si="35"/>
        <v>0</v>
      </c>
      <c r="AC136" s="3" t="s">
        <v>554</v>
      </c>
      <c r="AD136" s="3" t="s">
        <v>554</v>
      </c>
      <c r="AE136" s="3" t="s">
        <v>591</v>
      </c>
      <c r="AF136" s="9">
        <f t="shared" si="36"/>
        <v>0</v>
      </c>
    </row>
    <row r="137" spans="1:32" x14ac:dyDescent="0.25">
      <c r="A137" s="22" t="s">
        <v>166</v>
      </c>
      <c r="B137" s="24" t="s">
        <v>427</v>
      </c>
      <c r="D137" s="10">
        <v>0.95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26">
        <v>0</v>
      </c>
      <c r="R137" s="4">
        <f t="shared" si="37"/>
        <v>0</v>
      </c>
      <c r="S137" s="5">
        <f t="shared" si="29"/>
        <v>1.6448536269514715</v>
      </c>
      <c r="T137" s="6">
        <f t="shared" si="30"/>
        <v>0</v>
      </c>
      <c r="U137" s="3">
        <v>1</v>
      </c>
      <c r="V137" s="7">
        <f t="shared" si="38"/>
        <v>0.23076923076923078</v>
      </c>
      <c r="W137" s="18">
        <f t="shared" si="31"/>
        <v>0</v>
      </c>
      <c r="X137" s="19">
        <f t="shared" si="32"/>
        <v>0</v>
      </c>
      <c r="Y137" s="8">
        <f t="shared" si="33"/>
        <v>0</v>
      </c>
      <c r="Z137" s="8">
        <f t="shared" si="34"/>
        <v>0</v>
      </c>
      <c r="AA137" s="9">
        <f t="shared" si="35"/>
        <v>0</v>
      </c>
      <c r="AC137" s="3" t="s">
        <v>554</v>
      </c>
      <c r="AD137" s="3" t="s">
        <v>554</v>
      </c>
      <c r="AE137" s="3" t="s">
        <v>591</v>
      </c>
      <c r="AF137" s="9">
        <f t="shared" si="36"/>
        <v>0</v>
      </c>
    </row>
    <row r="138" spans="1:32" x14ac:dyDescent="0.25">
      <c r="A138" s="21" t="s">
        <v>167</v>
      </c>
      <c r="B138" s="23" t="s">
        <v>428</v>
      </c>
      <c r="D138" s="10">
        <v>0.95</v>
      </c>
      <c r="E138" s="1">
        <v>0</v>
      </c>
      <c r="F138" s="1">
        <v>3</v>
      </c>
      <c r="G138" s="1">
        <v>0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26">
        <v>5</v>
      </c>
      <c r="R138" s="4">
        <f t="shared" si="37"/>
        <v>0.41666666666666669</v>
      </c>
      <c r="S138" s="5">
        <f t="shared" si="29"/>
        <v>1.6448536269514715</v>
      </c>
      <c r="T138" s="6">
        <f t="shared" si="30"/>
        <v>0.90033663737851999</v>
      </c>
      <c r="U138" s="3">
        <v>1</v>
      </c>
      <c r="V138" s="7">
        <f t="shared" si="38"/>
        <v>0.23076923076923078</v>
      </c>
      <c r="W138" s="18">
        <f t="shared" si="31"/>
        <v>1</v>
      </c>
      <c r="X138" s="19">
        <f t="shared" si="32"/>
        <v>0.48396399021137931</v>
      </c>
      <c r="Y138" s="25">
        <f t="shared" si="33"/>
        <v>1</v>
      </c>
      <c r="Z138" s="25">
        <f t="shared" si="34"/>
        <v>2</v>
      </c>
      <c r="AA138" s="9">
        <f t="shared" si="35"/>
        <v>0</v>
      </c>
      <c r="AC138" s="3" t="s">
        <v>554</v>
      </c>
      <c r="AD138" s="3" t="s">
        <v>554</v>
      </c>
      <c r="AE138" s="3" t="s">
        <v>591</v>
      </c>
      <c r="AF138" s="9">
        <f t="shared" si="36"/>
        <v>0</v>
      </c>
    </row>
    <row r="139" spans="1:32" x14ac:dyDescent="0.25">
      <c r="A139" s="22" t="s">
        <v>168</v>
      </c>
      <c r="B139" s="24" t="s">
        <v>429</v>
      </c>
      <c r="D139" s="10">
        <v>0.95</v>
      </c>
      <c r="E139" s="1">
        <v>6</v>
      </c>
      <c r="F139" s="1">
        <v>5</v>
      </c>
      <c r="G139" s="1">
        <v>16</v>
      </c>
      <c r="H139" s="1">
        <v>11</v>
      </c>
      <c r="I139" s="1">
        <v>6</v>
      </c>
      <c r="J139" s="1">
        <v>6</v>
      </c>
      <c r="K139" s="1">
        <v>5</v>
      </c>
      <c r="L139" s="1">
        <v>2</v>
      </c>
      <c r="M139" s="1">
        <v>6</v>
      </c>
      <c r="N139" s="1">
        <v>3</v>
      </c>
      <c r="O139" s="1">
        <v>4</v>
      </c>
      <c r="P139" s="1">
        <v>12</v>
      </c>
      <c r="Q139" s="26">
        <v>82</v>
      </c>
      <c r="R139" s="4">
        <f t="shared" si="37"/>
        <v>6.833333333333333</v>
      </c>
      <c r="S139" s="5">
        <f t="shared" si="29"/>
        <v>1.6448536269514715</v>
      </c>
      <c r="T139" s="6">
        <f t="shared" si="30"/>
        <v>4.0861925672892232</v>
      </c>
      <c r="U139" s="3">
        <v>1</v>
      </c>
      <c r="V139" s="7">
        <f t="shared" si="38"/>
        <v>0.23076923076923078</v>
      </c>
      <c r="W139" s="18">
        <f t="shared" si="31"/>
        <v>4</v>
      </c>
      <c r="X139" s="19">
        <f t="shared" si="32"/>
        <v>4.1753407675611429</v>
      </c>
      <c r="Y139" s="25">
        <f t="shared" si="33"/>
        <v>6</v>
      </c>
      <c r="Z139" s="25">
        <f t="shared" si="34"/>
        <v>10</v>
      </c>
      <c r="AA139" s="9">
        <f t="shared" si="35"/>
        <v>0</v>
      </c>
      <c r="AC139" s="3" t="s">
        <v>564</v>
      </c>
      <c r="AD139" s="3" t="s">
        <v>590</v>
      </c>
      <c r="AE139" s="3" t="s">
        <v>553</v>
      </c>
      <c r="AF139" s="9">
        <f t="shared" si="36"/>
        <v>0</v>
      </c>
    </row>
    <row r="140" spans="1:32" x14ac:dyDescent="0.25">
      <c r="A140" s="21" t="s">
        <v>169</v>
      </c>
      <c r="B140" s="23" t="s">
        <v>430</v>
      </c>
      <c r="D140" s="10">
        <v>0.95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26">
        <v>0</v>
      </c>
      <c r="R140" s="4">
        <f t="shared" si="37"/>
        <v>0</v>
      </c>
      <c r="S140" s="5">
        <f t="shared" si="29"/>
        <v>1.6448536269514715</v>
      </c>
      <c r="T140" s="6">
        <f t="shared" si="30"/>
        <v>0</v>
      </c>
      <c r="U140" s="3">
        <v>3</v>
      </c>
      <c r="V140" s="7">
        <f t="shared" si="38"/>
        <v>0.69230769230769229</v>
      </c>
      <c r="W140" s="18">
        <f t="shared" si="31"/>
        <v>0</v>
      </c>
      <c r="X140" s="19">
        <f t="shared" si="32"/>
        <v>0</v>
      </c>
      <c r="Y140" s="8">
        <f t="shared" si="33"/>
        <v>0</v>
      </c>
      <c r="Z140" s="8">
        <f t="shared" si="34"/>
        <v>0</v>
      </c>
      <c r="AA140" s="9">
        <f t="shared" si="35"/>
        <v>0</v>
      </c>
      <c r="AC140" s="3" t="s">
        <v>554</v>
      </c>
      <c r="AD140" s="3" t="s">
        <v>554</v>
      </c>
      <c r="AE140" s="3" t="s">
        <v>591</v>
      </c>
      <c r="AF140" s="9">
        <f t="shared" si="36"/>
        <v>0</v>
      </c>
    </row>
    <row r="141" spans="1:32" x14ac:dyDescent="0.25">
      <c r="A141" s="22" t="s">
        <v>170</v>
      </c>
      <c r="B141" s="24" t="s">
        <v>431</v>
      </c>
      <c r="D141" s="10">
        <v>0.95</v>
      </c>
      <c r="E141" s="1">
        <v>0</v>
      </c>
      <c r="F141" s="1">
        <v>0</v>
      </c>
      <c r="G141" s="1">
        <v>2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0</v>
      </c>
      <c r="P141" s="1">
        <v>0</v>
      </c>
      <c r="Q141" s="26">
        <v>3</v>
      </c>
      <c r="R141" s="4">
        <f t="shared" si="37"/>
        <v>0.25</v>
      </c>
      <c r="S141" s="5">
        <f t="shared" si="29"/>
        <v>1.6448536269514715</v>
      </c>
      <c r="T141" s="6">
        <f t="shared" si="30"/>
        <v>0.62158156050806102</v>
      </c>
      <c r="U141" s="3">
        <v>3</v>
      </c>
      <c r="V141" s="7">
        <f t="shared" si="38"/>
        <v>0.69230769230769229</v>
      </c>
      <c r="W141" s="18">
        <f t="shared" si="31"/>
        <v>1</v>
      </c>
      <c r="X141" s="19">
        <f t="shared" si="32"/>
        <v>0.53950553037678284</v>
      </c>
      <c r="Y141" s="25">
        <f t="shared" si="33"/>
        <v>1</v>
      </c>
      <c r="Z141" s="25">
        <f t="shared" si="34"/>
        <v>2</v>
      </c>
      <c r="AA141" s="9">
        <f t="shared" si="35"/>
        <v>0</v>
      </c>
      <c r="AC141" s="3" t="s">
        <v>554</v>
      </c>
      <c r="AD141" s="3" t="s">
        <v>554</v>
      </c>
      <c r="AE141" s="3" t="s">
        <v>591</v>
      </c>
      <c r="AF141" s="9">
        <f t="shared" si="36"/>
        <v>0</v>
      </c>
    </row>
    <row r="142" spans="1:32" x14ac:dyDescent="0.25">
      <c r="A142" s="21" t="s">
        <v>171</v>
      </c>
      <c r="B142" s="23" t="s">
        <v>432</v>
      </c>
      <c r="D142" s="10">
        <v>0.95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26">
        <v>0</v>
      </c>
      <c r="R142" s="4">
        <f t="shared" si="37"/>
        <v>0</v>
      </c>
      <c r="S142" s="5">
        <f t="shared" si="29"/>
        <v>1.6448536269514715</v>
      </c>
      <c r="T142" s="6">
        <f t="shared" si="30"/>
        <v>0</v>
      </c>
      <c r="U142" s="3">
        <v>1</v>
      </c>
      <c r="V142" s="7">
        <f t="shared" si="38"/>
        <v>0.23076923076923078</v>
      </c>
      <c r="W142" s="18">
        <f t="shared" si="31"/>
        <v>0</v>
      </c>
      <c r="X142" s="19">
        <f t="shared" si="32"/>
        <v>0</v>
      </c>
      <c r="Y142" s="8">
        <f t="shared" si="33"/>
        <v>0</v>
      </c>
      <c r="Z142" s="8">
        <f t="shared" si="34"/>
        <v>0</v>
      </c>
      <c r="AA142" s="9">
        <f t="shared" si="35"/>
        <v>0</v>
      </c>
      <c r="AC142" s="3" t="s">
        <v>554</v>
      </c>
      <c r="AD142" s="3" t="s">
        <v>554</v>
      </c>
      <c r="AE142" s="3" t="s">
        <v>591</v>
      </c>
      <c r="AF142" s="9">
        <f t="shared" si="36"/>
        <v>0</v>
      </c>
    </row>
    <row r="143" spans="1:32" x14ac:dyDescent="0.25">
      <c r="A143" s="22" t="s">
        <v>172</v>
      </c>
      <c r="B143" s="24" t="s">
        <v>433</v>
      </c>
      <c r="D143" s="10">
        <v>0.95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26">
        <v>0</v>
      </c>
      <c r="R143" s="4">
        <f t="shared" si="37"/>
        <v>0</v>
      </c>
      <c r="S143" s="5">
        <f t="shared" si="29"/>
        <v>1.6448536269514715</v>
      </c>
      <c r="T143" s="6">
        <f t="shared" si="30"/>
        <v>0</v>
      </c>
      <c r="U143" s="3">
        <v>1</v>
      </c>
      <c r="V143" s="7">
        <f t="shared" si="38"/>
        <v>0.23076923076923078</v>
      </c>
      <c r="W143" s="18">
        <f t="shared" si="31"/>
        <v>0</v>
      </c>
      <c r="X143" s="19">
        <f t="shared" si="32"/>
        <v>0</v>
      </c>
      <c r="Y143" s="8">
        <f t="shared" si="33"/>
        <v>0</v>
      </c>
      <c r="Z143" s="8">
        <f t="shared" si="34"/>
        <v>0</v>
      </c>
      <c r="AA143" s="9">
        <f t="shared" si="35"/>
        <v>0</v>
      </c>
      <c r="AC143" s="3" t="s">
        <v>554</v>
      </c>
      <c r="AD143" s="3" t="s">
        <v>554</v>
      </c>
      <c r="AE143" s="3" t="s">
        <v>591</v>
      </c>
      <c r="AF143" s="9">
        <f t="shared" si="36"/>
        <v>0</v>
      </c>
    </row>
    <row r="144" spans="1:32" x14ac:dyDescent="0.25">
      <c r="A144" s="21" t="s">
        <v>173</v>
      </c>
      <c r="B144" s="23" t="s">
        <v>434</v>
      </c>
      <c r="D144" s="10">
        <v>0.95</v>
      </c>
      <c r="E144" s="1">
        <v>0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18</v>
      </c>
      <c r="O144" s="1">
        <v>8</v>
      </c>
      <c r="P144" s="1">
        <v>0</v>
      </c>
      <c r="Q144" s="26">
        <v>28</v>
      </c>
      <c r="R144" s="4">
        <f t="shared" si="37"/>
        <v>2.3333333333333335</v>
      </c>
      <c r="S144" s="5">
        <f t="shared" si="29"/>
        <v>1.6448536269514715</v>
      </c>
      <c r="T144" s="6">
        <f t="shared" si="30"/>
        <v>5.4327848765758722</v>
      </c>
      <c r="U144" s="3">
        <v>1</v>
      </c>
      <c r="V144" s="7">
        <f t="shared" si="38"/>
        <v>0.23076923076923078</v>
      </c>
      <c r="W144" s="18">
        <f t="shared" si="31"/>
        <v>5</v>
      </c>
      <c r="X144" s="19">
        <f t="shared" si="32"/>
        <v>2.8132987607255484</v>
      </c>
      <c r="Y144" s="25">
        <f t="shared" si="33"/>
        <v>3</v>
      </c>
      <c r="Z144" s="25">
        <f t="shared" si="34"/>
        <v>8</v>
      </c>
      <c r="AA144" s="9">
        <f t="shared" si="35"/>
        <v>0</v>
      </c>
      <c r="AC144" s="3" t="s">
        <v>554</v>
      </c>
      <c r="AD144" s="3" t="s">
        <v>554</v>
      </c>
      <c r="AE144" s="3" t="s">
        <v>591</v>
      </c>
      <c r="AF144" s="9">
        <f t="shared" si="36"/>
        <v>0</v>
      </c>
    </row>
    <row r="145" spans="1:32" x14ac:dyDescent="0.25">
      <c r="A145" s="22" t="s">
        <v>174</v>
      </c>
      <c r="B145" s="24" t="s">
        <v>435</v>
      </c>
      <c r="D145" s="10">
        <v>0.95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26">
        <v>0</v>
      </c>
      <c r="R145" s="4">
        <f t="shared" si="37"/>
        <v>0</v>
      </c>
      <c r="S145" s="5">
        <f t="shared" si="29"/>
        <v>1.6448536269514715</v>
      </c>
      <c r="T145" s="6">
        <f t="shared" si="30"/>
        <v>0</v>
      </c>
      <c r="U145" s="3">
        <v>1</v>
      </c>
      <c r="V145" s="7">
        <f t="shared" si="38"/>
        <v>0.23076923076923078</v>
      </c>
      <c r="W145" s="18">
        <f t="shared" si="31"/>
        <v>0</v>
      </c>
      <c r="X145" s="19">
        <f t="shared" si="32"/>
        <v>0</v>
      </c>
      <c r="Y145" s="8">
        <f t="shared" si="33"/>
        <v>0</v>
      </c>
      <c r="Z145" s="8">
        <f t="shared" si="34"/>
        <v>0</v>
      </c>
      <c r="AA145" s="9">
        <f t="shared" si="35"/>
        <v>0</v>
      </c>
      <c r="AC145" s="3" t="s">
        <v>554</v>
      </c>
      <c r="AD145" s="3" t="s">
        <v>554</v>
      </c>
      <c r="AE145" s="3" t="s">
        <v>591</v>
      </c>
      <c r="AF145" s="9">
        <f t="shared" si="36"/>
        <v>0</v>
      </c>
    </row>
    <row r="146" spans="1:32" x14ac:dyDescent="0.25">
      <c r="A146" s="21" t="s">
        <v>175</v>
      </c>
      <c r="B146" s="23" t="s">
        <v>436</v>
      </c>
      <c r="D146" s="10">
        <v>0.95</v>
      </c>
      <c r="E146" s="1">
        <v>4</v>
      </c>
      <c r="F146" s="1">
        <v>2</v>
      </c>
      <c r="G146" s="1">
        <v>0</v>
      </c>
      <c r="H146" s="1">
        <v>5</v>
      </c>
      <c r="I146" s="1">
        <v>2</v>
      </c>
      <c r="J146" s="1">
        <v>4</v>
      </c>
      <c r="K146" s="1">
        <v>0</v>
      </c>
      <c r="L146" s="1">
        <v>6</v>
      </c>
      <c r="M146" s="1">
        <v>4</v>
      </c>
      <c r="N146" s="1">
        <v>0</v>
      </c>
      <c r="O146" s="1">
        <v>1</v>
      </c>
      <c r="P146" s="1">
        <v>12</v>
      </c>
      <c r="Q146" s="26">
        <v>40</v>
      </c>
      <c r="R146" s="4">
        <f t="shared" si="37"/>
        <v>3.3333333333333335</v>
      </c>
      <c r="S146" s="5">
        <f t="shared" si="29"/>
        <v>1.6448536269514715</v>
      </c>
      <c r="T146" s="6">
        <f t="shared" si="30"/>
        <v>3.4200832880164915</v>
      </c>
      <c r="U146" s="3">
        <v>1</v>
      </c>
      <c r="V146" s="7">
        <f t="shared" si="38"/>
        <v>0.23076923076923078</v>
      </c>
      <c r="W146" s="18">
        <f t="shared" si="31"/>
        <v>3</v>
      </c>
      <c r="X146" s="19">
        <f t="shared" si="32"/>
        <v>2.6679268748418079</v>
      </c>
      <c r="Y146" s="25">
        <f t="shared" si="33"/>
        <v>3</v>
      </c>
      <c r="Z146" s="25">
        <f t="shared" si="34"/>
        <v>6</v>
      </c>
      <c r="AA146" s="9">
        <f t="shared" si="35"/>
        <v>0</v>
      </c>
      <c r="AC146" s="3" t="s">
        <v>560</v>
      </c>
      <c r="AD146" s="3" t="s">
        <v>553</v>
      </c>
      <c r="AE146" s="3" t="s">
        <v>591</v>
      </c>
      <c r="AF146" s="9">
        <f t="shared" si="36"/>
        <v>0</v>
      </c>
    </row>
    <row r="147" spans="1:32" x14ac:dyDescent="0.25">
      <c r="A147" s="22" t="s">
        <v>176</v>
      </c>
      <c r="B147" s="24" t="s">
        <v>437</v>
      </c>
      <c r="D147" s="10">
        <v>0.95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26">
        <v>0</v>
      </c>
      <c r="R147" s="4">
        <f t="shared" si="37"/>
        <v>0</v>
      </c>
      <c r="S147" s="5">
        <f t="shared" si="29"/>
        <v>1.6448536269514715</v>
      </c>
      <c r="T147" s="6">
        <f t="shared" si="30"/>
        <v>0</v>
      </c>
      <c r="U147" s="3">
        <v>1</v>
      </c>
      <c r="V147" s="7">
        <f t="shared" si="38"/>
        <v>0.23076923076923078</v>
      </c>
      <c r="W147" s="18">
        <f t="shared" si="31"/>
        <v>0</v>
      </c>
      <c r="X147" s="19">
        <f t="shared" si="32"/>
        <v>0</v>
      </c>
      <c r="Y147" s="8">
        <f t="shared" si="33"/>
        <v>0</v>
      </c>
      <c r="Z147" s="8">
        <f t="shared" si="34"/>
        <v>0</v>
      </c>
      <c r="AA147" s="9">
        <f t="shared" si="35"/>
        <v>0</v>
      </c>
      <c r="AC147" s="3" t="s">
        <v>554</v>
      </c>
      <c r="AD147" s="3" t="s">
        <v>554</v>
      </c>
      <c r="AE147" s="3" t="s">
        <v>591</v>
      </c>
      <c r="AF147" s="9">
        <f t="shared" si="36"/>
        <v>0</v>
      </c>
    </row>
    <row r="148" spans="1:32" x14ac:dyDescent="0.25">
      <c r="A148" s="21" t="s">
        <v>177</v>
      </c>
      <c r="B148" s="23" t="s">
        <v>438</v>
      </c>
      <c r="D148" s="10">
        <v>0.95</v>
      </c>
      <c r="E148" s="1">
        <v>0</v>
      </c>
      <c r="F148" s="1">
        <v>0</v>
      </c>
      <c r="G148" s="1">
        <v>1</v>
      </c>
      <c r="H148" s="1">
        <v>1</v>
      </c>
      <c r="I148" s="1">
        <v>2</v>
      </c>
      <c r="J148" s="1">
        <v>1</v>
      </c>
      <c r="K148" s="1">
        <v>1</v>
      </c>
      <c r="L148" s="1">
        <v>0</v>
      </c>
      <c r="M148" s="1">
        <v>0</v>
      </c>
      <c r="N148" s="1">
        <v>6</v>
      </c>
      <c r="O148" s="1">
        <v>0</v>
      </c>
      <c r="P148" s="1">
        <v>1</v>
      </c>
      <c r="Q148" s="26">
        <v>13</v>
      </c>
      <c r="R148" s="4">
        <f t="shared" si="37"/>
        <v>1.0833333333333333</v>
      </c>
      <c r="S148" s="5">
        <f t="shared" si="29"/>
        <v>1.6448536269514715</v>
      </c>
      <c r="T148" s="6">
        <f t="shared" si="30"/>
        <v>1.6764862244009227</v>
      </c>
      <c r="U148" s="3">
        <v>1</v>
      </c>
      <c r="V148" s="7">
        <f t="shared" si="38"/>
        <v>0.23076923076923078</v>
      </c>
      <c r="W148" s="18">
        <f t="shared" si="31"/>
        <v>2</v>
      </c>
      <c r="X148" s="19">
        <f t="shared" si="32"/>
        <v>1.064871627275918</v>
      </c>
      <c r="Y148" s="25">
        <f t="shared" si="33"/>
        <v>1</v>
      </c>
      <c r="Z148" s="25">
        <f t="shared" si="34"/>
        <v>3</v>
      </c>
      <c r="AA148" s="9">
        <f t="shared" si="35"/>
        <v>0</v>
      </c>
      <c r="AC148" s="3" t="s">
        <v>561</v>
      </c>
      <c r="AD148" s="3" t="s">
        <v>568</v>
      </c>
      <c r="AE148" s="3" t="s">
        <v>571</v>
      </c>
      <c r="AF148" s="9">
        <f t="shared" si="36"/>
        <v>0</v>
      </c>
    </row>
    <row r="149" spans="1:32" x14ac:dyDescent="0.25">
      <c r="A149" s="22" t="s">
        <v>178</v>
      </c>
      <c r="B149" s="24" t="s">
        <v>439</v>
      </c>
      <c r="D149" s="10">
        <v>0.95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26">
        <v>0</v>
      </c>
      <c r="R149" s="4">
        <f t="shared" si="37"/>
        <v>0</v>
      </c>
      <c r="S149" s="5">
        <f t="shared" si="29"/>
        <v>1.6448536269514715</v>
      </c>
      <c r="T149" s="6">
        <f t="shared" si="30"/>
        <v>0</v>
      </c>
      <c r="U149" s="3">
        <v>1</v>
      </c>
      <c r="V149" s="7">
        <f t="shared" si="38"/>
        <v>0.23076923076923078</v>
      </c>
      <c r="W149" s="18">
        <f t="shared" si="31"/>
        <v>0</v>
      </c>
      <c r="X149" s="19">
        <f t="shared" si="32"/>
        <v>0</v>
      </c>
      <c r="Y149" s="8">
        <f t="shared" si="33"/>
        <v>0</v>
      </c>
      <c r="Z149" s="8">
        <f t="shared" si="34"/>
        <v>0</v>
      </c>
      <c r="AA149" s="9">
        <f t="shared" si="35"/>
        <v>0</v>
      </c>
      <c r="AC149" s="3" t="s">
        <v>554</v>
      </c>
      <c r="AD149" s="3" t="s">
        <v>554</v>
      </c>
      <c r="AE149" s="3" t="s">
        <v>591</v>
      </c>
      <c r="AF149" s="9">
        <f t="shared" si="36"/>
        <v>0</v>
      </c>
    </row>
    <row r="150" spans="1:32" x14ac:dyDescent="0.25">
      <c r="A150" s="21" t="s">
        <v>179</v>
      </c>
      <c r="B150" s="23" t="s">
        <v>440</v>
      </c>
      <c r="D150" s="10">
        <v>0.95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26">
        <v>0</v>
      </c>
      <c r="R150" s="4">
        <f t="shared" si="37"/>
        <v>0</v>
      </c>
      <c r="S150" s="5">
        <f t="shared" si="29"/>
        <v>1.6448536269514715</v>
      </c>
      <c r="T150" s="6">
        <f t="shared" si="30"/>
        <v>0</v>
      </c>
      <c r="U150" s="3">
        <v>1</v>
      </c>
      <c r="V150" s="7">
        <f t="shared" si="38"/>
        <v>0.23076923076923078</v>
      </c>
      <c r="W150" s="18">
        <f t="shared" si="31"/>
        <v>0</v>
      </c>
      <c r="X150" s="19">
        <f t="shared" si="32"/>
        <v>0</v>
      </c>
      <c r="Y150" s="8">
        <f t="shared" si="33"/>
        <v>0</v>
      </c>
      <c r="Z150" s="8">
        <f t="shared" si="34"/>
        <v>0</v>
      </c>
      <c r="AA150" s="9">
        <f t="shared" si="35"/>
        <v>0</v>
      </c>
      <c r="AC150" s="3" t="s">
        <v>554</v>
      </c>
      <c r="AD150" s="3" t="s">
        <v>554</v>
      </c>
      <c r="AE150" s="3" t="s">
        <v>591</v>
      </c>
      <c r="AF150" s="9">
        <f t="shared" si="36"/>
        <v>0</v>
      </c>
    </row>
    <row r="151" spans="1:32" x14ac:dyDescent="0.25">
      <c r="A151" s="22" t="s">
        <v>180</v>
      </c>
      <c r="B151" s="24" t="s">
        <v>441</v>
      </c>
      <c r="D151" s="10">
        <v>0.95</v>
      </c>
      <c r="E151" s="1">
        <v>2</v>
      </c>
      <c r="F151" s="1">
        <v>0</v>
      </c>
      <c r="G151" s="1">
        <v>3</v>
      </c>
      <c r="H151" s="1">
        <v>0</v>
      </c>
      <c r="I151" s="1">
        <v>1</v>
      </c>
      <c r="J151" s="1">
        <v>2</v>
      </c>
      <c r="K151" s="1">
        <v>1</v>
      </c>
      <c r="L151" s="1">
        <v>4</v>
      </c>
      <c r="M151" s="1">
        <v>0</v>
      </c>
      <c r="N151" s="1">
        <v>4</v>
      </c>
      <c r="O151" s="1">
        <v>0</v>
      </c>
      <c r="P151" s="1">
        <v>3</v>
      </c>
      <c r="Q151" s="26">
        <v>20</v>
      </c>
      <c r="R151" s="4">
        <f t="shared" si="37"/>
        <v>1.6666666666666667</v>
      </c>
      <c r="S151" s="5">
        <f t="shared" si="29"/>
        <v>1.6448536269514715</v>
      </c>
      <c r="T151" s="6">
        <f t="shared" si="30"/>
        <v>1.5569978883230458</v>
      </c>
      <c r="U151" s="3">
        <v>1</v>
      </c>
      <c r="V151" s="7">
        <f t="shared" si="38"/>
        <v>0.23076923076923078</v>
      </c>
      <c r="W151" s="18">
        <f t="shared" si="31"/>
        <v>2</v>
      </c>
      <c r="X151" s="19">
        <f t="shared" si="32"/>
        <v>1.2728715937403408</v>
      </c>
      <c r="Y151" s="25">
        <f t="shared" si="33"/>
        <v>2</v>
      </c>
      <c r="Z151" s="25">
        <f t="shared" si="34"/>
        <v>4</v>
      </c>
      <c r="AA151" s="9">
        <f t="shared" si="35"/>
        <v>0</v>
      </c>
      <c r="AC151" s="3" t="s">
        <v>555</v>
      </c>
      <c r="AD151" s="3" t="s">
        <v>560</v>
      </c>
      <c r="AE151" s="3" t="s">
        <v>591</v>
      </c>
      <c r="AF151" s="9">
        <f t="shared" si="36"/>
        <v>0</v>
      </c>
    </row>
    <row r="152" spans="1:32" x14ac:dyDescent="0.25">
      <c r="A152" s="21" t="s">
        <v>181</v>
      </c>
      <c r="B152" s="23" t="s">
        <v>442</v>
      </c>
      <c r="D152" s="10">
        <v>0.95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26">
        <v>0</v>
      </c>
      <c r="R152" s="4">
        <f t="shared" si="37"/>
        <v>0</v>
      </c>
      <c r="S152" s="5">
        <f t="shared" si="29"/>
        <v>1.6448536269514715</v>
      </c>
      <c r="T152" s="6">
        <f t="shared" si="30"/>
        <v>0</v>
      </c>
      <c r="U152" s="3">
        <v>1</v>
      </c>
      <c r="V152" s="7">
        <f t="shared" si="38"/>
        <v>0.23076923076923078</v>
      </c>
      <c r="W152" s="18">
        <f t="shared" si="31"/>
        <v>0</v>
      </c>
      <c r="X152" s="19">
        <f t="shared" si="32"/>
        <v>0</v>
      </c>
      <c r="Y152" s="8">
        <f t="shared" si="33"/>
        <v>0</v>
      </c>
      <c r="Z152" s="8">
        <f t="shared" si="34"/>
        <v>0</v>
      </c>
      <c r="AA152" s="9">
        <f t="shared" si="35"/>
        <v>0</v>
      </c>
      <c r="AC152" s="3" t="s">
        <v>554</v>
      </c>
      <c r="AD152" s="3" t="s">
        <v>554</v>
      </c>
      <c r="AE152" s="3" t="s">
        <v>591</v>
      </c>
      <c r="AF152" s="9">
        <f t="shared" si="36"/>
        <v>0</v>
      </c>
    </row>
    <row r="153" spans="1:32" x14ac:dyDescent="0.25">
      <c r="A153" s="22" t="s">
        <v>182</v>
      </c>
      <c r="B153" s="24" t="s">
        <v>443</v>
      </c>
      <c r="D153" s="10">
        <v>0.95</v>
      </c>
      <c r="E153" s="1">
        <v>2</v>
      </c>
      <c r="F153" s="1">
        <v>2</v>
      </c>
      <c r="G153" s="1">
        <v>4</v>
      </c>
      <c r="H153" s="1">
        <v>4</v>
      </c>
      <c r="I153" s="1">
        <v>10</v>
      </c>
      <c r="J153" s="1">
        <v>7</v>
      </c>
      <c r="K153" s="1">
        <v>0</v>
      </c>
      <c r="L153" s="1">
        <v>6</v>
      </c>
      <c r="M153" s="1">
        <v>0</v>
      </c>
      <c r="N153" s="1">
        <v>2</v>
      </c>
      <c r="O153" s="1">
        <v>5</v>
      </c>
      <c r="P153" s="1">
        <v>5</v>
      </c>
      <c r="Q153" s="26">
        <v>47</v>
      </c>
      <c r="R153" s="4">
        <f t="shared" si="37"/>
        <v>3.9166666666666665</v>
      </c>
      <c r="S153" s="5">
        <f t="shared" si="29"/>
        <v>1.6448536269514715</v>
      </c>
      <c r="T153" s="6">
        <f t="shared" si="30"/>
        <v>2.937479851639476</v>
      </c>
      <c r="U153" s="3">
        <v>1</v>
      </c>
      <c r="V153" s="7">
        <f t="shared" si="38"/>
        <v>0.23076923076923078</v>
      </c>
      <c r="W153" s="18">
        <f t="shared" si="31"/>
        <v>3</v>
      </c>
      <c r="X153" s="19">
        <f t="shared" si="32"/>
        <v>2.6801676578391227</v>
      </c>
      <c r="Y153" s="25">
        <f t="shared" si="33"/>
        <v>4</v>
      </c>
      <c r="Z153" s="25">
        <f t="shared" si="34"/>
        <v>7</v>
      </c>
      <c r="AA153" s="9">
        <f t="shared" si="35"/>
        <v>0</v>
      </c>
      <c r="AC153" s="3" t="s">
        <v>575</v>
      </c>
      <c r="AD153" s="3" t="s">
        <v>564</v>
      </c>
      <c r="AE153" s="3" t="s">
        <v>557</v>
      </c>
      <c r="AF153" s="9">
        <f t="shared" si="36"/>
        <v>0</v>
      </c>
    </row>
    <row r="154" spans="1:32" x14ac:dyDescent="0.25">
      <c r="A154" s="21" t="s">
        <v>183</v>
      </c>
      <c r="B154" s="23" t="s">
        <v>444</v>
      </c>
      <c r="D154" s="10">
        <v>0.95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26">
        <v>0</v>
      </c>
      <c r="R154" s="4">
        <f t="shared" si="37"/>
        <v>0</v>
      </c>
      <c r="S154" s="5">
        <f t="shared" si="29"/>
        <v>1.6448536269514715</v>
      </c>
      <c r="T154" s="6">
        <f t="shared" si="30"/>
        <v>0</v>
      </c>
      <c r="U154" s="3">
        <v>3</v>
      </c>
      <c r="V154" s="7">
        <f t="shared" si="38"/>
        <v>0.69230769230769229</v>
      </c>
      <c r="W154" s="18">
        <f t="shared" si="31"/>
        <v>0</v>
      </c>
      <c r="X154" s="19">
        <f t="shared" si="32"/>
        <v>0</v>
      </c>
      <c r="Y154" s="8">
        <f t="shared" si="33"/>
        <v>0</v>
      </c>
      <c r="Z154" s="8">
        <f t="shared" si="34"/>
        <v>0</v>
      </c>
      <c r="AA154" s="9">
        <f t="shared" si="35"/>
        <v>0</v>
      </c>
      <c r="AC154" s="3" t="s">
        <v>554</v>
      </c>
      <c r="AD154" s="3" t="s">
        <v>554</v>
      </c>
      <c r="AE154" s="3" t="s">
        <v>591</v>
      </c>
      <c r="AF154" s="9">
        <f t="shared" si="36"/>
        <v>0</v>
      </c>
    </row>
    <row r="155" spans="1:32" x14ac:dyDescent="0.25">
      <c r="A155" s="22" t="s">
        <v>184</v>
      </c>
      <c r="B155" s="24" t="s">
        <v>445</v>
      </c>
      <c r="D155" s="10">
        <v>0.95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26">
        <v>0</v>
      </c>
      <c r="R155" s="4">
        <f t="shared" si="37"/>
        <v>0</v>
      </c>
      <c r="S155" s="5">
        <f t="shared" si="29"/>
        <v>1.6448536269514715</v>
      </c>
      <c r="T155" s="6">
        <f t="shared" si="30"/>
        <v>0</v>
      </c>
      <c r="U155" s="3">
        <v>1</v>
      </c>
      <c r="V155" s="7">
        <f t="shared" si="38"/>
        <v>0.23076923076923078</v>
      </c>
      <c r="W155" s="18">
        <f t="shared" si="31"/>
        <v>0</v>
      </c>
      <c r="X155" s="19">
        <f t="shared" si="32"/>
        <v>0</v>
      </c>
      <c r="Y155" s="8">
        <f t="shared" si="33"/>
        <v>0</v>
      </c>
      <c r="Z155" s="8">
        <f t="shared" si="34"/>
        <v>0</v>
      </c>
      <c r="AA155" s="9">
        <f t="shared" si="35"/>
        <v>0</v>
      </c>
      <c r="AC155" s="3" t="s">
        <v>554</v>
      </c>
      <c r="AD155" s="3" t="s">
        <v>554</v>
      </c>
      <c r="AE155" s="3" t="s">
        <v>591</v>
      </c>
      <c r="AF155" s="9">
        <f t="shared" si="36"/>
        <v>0</v>
      </c>
    </row>
    <row r="156" spans="1:32" x14ac:dyDescent="0.25">
      <c r="A156" s="21" t="s">
        <v>185</v>
      </c>
      <c r="B156" s="23" t="s">
        <v>446</v>
      </c>
      <c r="D156" s="10">
        <v>0.95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26">
        <v>0</v>
      </c>
      <c r="R156" s="4">
        <f t="shared" si="37"/>
        <v>0</v>
      </c>
      <c r="S156" s="5">
        <f t="shared" ref="S156:S219" si="39">NORMSINV(D156)</f>
        <v>1.6448536269514715</v>
      </c>
      <c r="T156" s="6">
        <f t="shared" ref="T156:T219" si="40">STDEV(E156:P156)</f>
        <v>0</v>
      </c>
      <c r="U156" s="3">
        <v>1</v>
      </c>
      <c r="V156" s="7">
        <f t="shared" si="38"/>
        <v>0.23076923076923078</v>
      </c>
      <c r="W156" s="18">
        <f t="shared" ref="W156:W219" si="41">CEILING(S156*T156*(SQRT(V156)),1)</f>
        <v>0</v>
      </c>
      <c r="X156" s="19">
        <f t="shared" ref="X156:X219" si="42">S156*SQRT(T156*V156*R156)</f>
        <v>0</v>
      </c>
      <c r="Y156" s="8">
        <f t="shared" ref="Y156:Y219" si="43">ROUND(V156*R156+X156,0)</f>
        <v>0</v>
      </c>
      <c r="Z156" s="8">
        <f t="shared" ref="Z156:Z219" si="44">ROUND(Y156+W156,0)</f>
        <v>0</v>
      </c>
      <c r="AA156" s="9">
        <f t="shared" ref="AA156:AA219" si="45">C156*Z156</f>
        <v>0</v>
      </c>
      <c r="AC156" s="3" t="s">
        <v>554</v>
      </c>
      <c r="AD156" s="3" t="s">
        <v>554</v>
      </c>
      <c r="AE156" s="3" t="s">
        <v>591</v>
      </c>
      <c r="AF156" s="9">
        <f t="shared" ref="AF156:AF219" si="46">AD156*C156</f>
        <v>0</v>
      </c>
    </row>
    <row r="157" spans="1:32" x14ac:dyDescent="0.25">
      <c r="A157" s="22" t="s">
        <v>186</v>
      </c>
      <c r="B157" s="24" t="s">
        <v>447</v>
      </c>
      <c r="D157" s="10">
        <v>0.95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26">
        <v>0</v>
      </c>
      <c r="R157" s="4">
        <f t="shared" si="37"/>
        <v>0</v>
      </c>
      <c r="S157" s="5">
        <f t="shared" si="39"/>
        <v>1.6448536269514715</v>
      </c>
      <c r="T157" s="6">
        <f t="shared" si="40"/>
        <v>0</v>
      </c>
      <c r="U157" s="3">
        <v>1</v>
      </c>
      <c r="V157" s="7">
        <f t="shared" si="38"/>
        <v>0.23076923076923078</v>
      </c>
      <c r="W157" s="18">
        <f t="shared" si="41"/>
        <v>0</v>
      </c>
      <c r="X157" s="19">
        <f t="shared" si="42"/>
        <v>0</v>
      </c>
      <c r="Y157" s="8">
        <f t="shared" si="43"/>
        <v>0</v>
      </c>
      <c r="Z157" s="8">
        <f t="shared" si="44"/>
        <v>0</v>
      </c>
      <c r="AA157" s="9">
        <f t="shared" si="45"/>
        <v>0</v>
      </c>
      <c r="AC157" s="3" t="s">
        <v>554</v>
      </c>
      <c r="AD157" s="3" t="s">
        <v>554</v>
      </c>
      <c r="AE157" s="3" t="s">
        <v>591</v>
      </c>
      <c r="AF157" s="9">
        <f t="shared" si="46"/>
        <v>0</v>
      </c>
    </row>
    <row r="158" spans="1:32" x14ac:dyDescent="0.25">
      <c r="A158" s="21" t="s">
        <v>187</v>
      </c>
      <c r="B158" s="23" t="s">
        <v>448</v>
      </c>
      <c r="D158" s="10">
        <v>0.95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26">
        <v>0</v>
      </c>
      <c r="R158" s="4">
        <f t="shared" si="37"/>
        <v>0</v>
      </c>
      <c r="S158" s="5">
        <f t="shared" si="39"/>
        <v>1.6448536269514715</v>
      </c>
      <c r="T158" s="6">
        <f t="shared" si="40"/>
        <v>0</v>
      </c>
      <c r="U158" s="3">
        <v>1</v>
      </c>
      <c r="V158" s="7">
        <f t="shared" si="38"/>
        <v>0.23076923076923078</v>
      </c>
      <c r="W158" s="18">
        <f t="shared" si="41"/>
        <v>0</v>
      </c>
      <c r="X158" s="19">
        <f t="shared" si="42"/>
        <v>0</v>
      </c>
      <c r="Y158" s="8">
        <f t="shared" si="43"/>
        <v>0</v>
      </c>
      <c r="Z158" s="8">
        <f t="shared" si="44"/>
        <v>0</v>
      </c>
      <c r="AA158" s="9">
        <f t="shared" si="45"/>
        <v>0</v>
      </c>
      <c r="AC158" s="3" t="s">
        <v>554</v>
      </c>
      <c r="AD158" s="3" t="s">
        <v>554</v>
      </c>
      <c r="AE158" s="3" t="s">
        <v>591</v>
      </c>
      <c r="AF158" s="9">
        <f t="shared" si="46"/>
        <v>0</v>
      </c>
    </row>
    <row r="159" spans="1:32" x14ac:dyDescent="0.25">
      <c r="A159" s="22" t="s">
        <v>188</v>
      </c>
      <c r="B159" s="24" t="s">
        <v>449</v>
      </c>
      <c r="D159" s="10">
        <v>0.95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26">
        <v>0</v>
      </c>
      <c r="R159" s="4">
        <f t="shared" si="37"/>
        <v>0</v>
      </c>
      <c r="S159" s="5">
        <f t="shared" si="39"/>
        <v>1.6448536269514715</v>
      </c>
      <c r="T159" s="6">
        <f t="shared" si="40"/>
        <v>0</v>
      </c>
      <c r="U159" s="3">
        <v>1</v>
      </c>
      <c r="V159" s="7">
        <f t="shared" si="38"/>
        <v>0.23076923076923078</v>
      </c>
      <c r="W159" s="18">
        <f t="shared" si="41"/>
        <v>0</v>
      </c>
      <c r="X159" s="19">
        <f t="shared" si="42"/>
        <v>0</v>
      </c>
      <c r="Y159" s="8">
        <f t="shared" si="43"/>
        <v>0</v>
      </c>
      <c r="Z159" s="8">
        <f t="shared" si="44"/>
        <v>0</v>
      </c>
      <c r="AA159" s="9">
        <f t="shared" si="45"/>
        <v>0</v>
      </c>
      <c r="AC159" s="3" t="s">
        <v>554</v>
      </c>
      <c r="AD159" s="3" t="s">
        <v>554</v>
      </c>
      <c r="AE159" s="3" t="s">
        <v>591</v>
      </c>
      <c r="AF159" s="9">
        <f t="shared" si="46"/>
        <v>0</v>
      </c>
    </row>
    <row r="160" spans="1:32" x14ac:dyDescent="0.25">
      <c r="A160" s="21" t="s">
        <v>189</v>
      </c>
      <c r="B160" s="23" t="s">
        <v>450</v>
      </c>
      <c r="D160" s="10">
        <v>0.95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26">
        <v>0</v>
      </c>
      <c r="R160" s="4">
        <f t="shared" si="37"/>
        <v>0</v>
      </c>
      <c r="S160" s="5">
        <f t="shared" si="39"/>
        <v>1.6448536269514715</v>
      </c>
      <c r="T160" s="6">
        <f t="shared" si="40"/>
        <v>0</v>
      </c>
      <c r="U160" s="3">
        <v>1</v>
      </c>
      <c r="V160" s="7">
        <f t="shared" si="38"/>
        <v>0.23076923076923078</v>
      </c>
      <c r="W160" s="18">
        <f t="shared" si="41"/>
        <v>0</v>
      </c>
      <c r="X160" s="19">
        <f t="shared" si="42"/>
        <v>0</v>
      </c>
      <c r="Y160" s="8">
        <f t="shared" si="43"/>
        <v>0</v>
      </c>
      <c r="Z160" s="8">
        <f t="shared" si="44"/>
        <v>0</v>
      </c>
      <c r="AA160" s="9">
        <f t="shared" si="45"/>
        <v>0</v>
      </c>
      <c r="AC160" s="3" t="s">
        <v>554</v>
      </c>
      <c r="AD160" s="3" t="s">
        <v>554</v>
      </c>
      <c r="AE160" s="3" t="s">
        <v>591</v>
      </c>
      <c r="AF160" s="9">
        <f t="shared" si="46"/>
        <v>0</v>
      </c>
    </row>
    <row r="161" spans="1:32" x14ac:dyDescent="0.25">
      <c r="A161" s="22" t="s">
        <v>190</v>
      </c>
      <c r="B161" s="24" t="s">
        <v>451</v>
      </c>
      <c r="D161" s="10">
        <v>0.95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26">
        <v>0</v>
      </c>
      <c r="R161" s="4">
        <f t="shared" si="37"/>
        <v>0</v>
      </c>
      <c r="S161" s="5">
        <f t="shared" si="39"/>
        <v>1.6448536269514715</v>
      </c>
      <c r="T161" s="6">
        <f t="shared" si="40"/>
        <v>0</v>
      </c>
      <c r="U161" s="3">
        <v>1</v>
      </c>
      <c r="V161" s="7">
        <f t="shared" si="38"/>
        <v>0.23076923076923078</v>
      </c>
      <c r="W161" s="18">
        <f t="shared" si="41"/>
        <v>0</v>
      </c>
      <c r="X161" s="19">
        <f t="shared" si="42"/>
        <v>0</v>
      </c>
      <c r="Y161" s="8">
        <f t="shared" si="43"/>
        <v>0</v>
      </c>
      <c r="Z161" s="8">
        <f t="shared" si="44"/>
        <v>0</v>
      </c>
      <c r="AA161" s="9">
        <f t="shared" si="45"/>
        <v>0</v>
      </c>
      <c r="AC161" s="3" t="s">
        <v>554</v>
      </c>
      <c r="AD161" s="3" t="s">
        <v>554</v>
      </c>
      <c r="AE161" s="3" t="s">
        <v>591</v>
      </c>
      <c r="AF161" s="9">
        <f t="shared" si="46"/>
        <v>0</v>
      </c>
    </row>
    <row r="162" spans="1:32" x14ac:dyDescent="0.25">
      <c r="A162" s="21" t="s">
        <v>191</v>
      </c>
      <c r="B162" s="23" t="s">
        <v>452</v>
      </c>
      <c r="D162" s="10">
        <v>0.95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26">
        <v>0</v>
      </c>
      <c r="R162" s="4">
        <f t="shared" si="37"/>
        <v>0</v>
      </c>
      <c r="S162" s="5">
        <f t="shared" si="39"/>
        <v>1.6448536269514715</v>
      </c>
      <c r="T162" s="6">
        <f t="shared" si="40"/>
        <v>0</v>
      </c>
      <c r="U162" s="3">
        <v>1</v>
      </c>
      <c r="V162" s="7">
        <f t="shared" si="38"/>
        <v>0.23076923076923078</v>
      </c>
      <c r="W162" s="18">
        <f t="shared" si="41"/>
        <v>0</v>
      </c>
      <c r="X162" s="19">
        <f t="shared" si="42"/>
        <v>0</v>
      </c>
      <c r="Y162" s="8">
        <f t="shared" si="43"/>
        <v>0</v>
      </c>
      <c r="Z162" s="8">
        <f t="shared" si="44"/>
        <v>0</v>
      </c>
      <c r="AA162" s="9">
        <f t="shared" si="45"/>
        <v>0</v>
      </c>
      <c r="AC162" s="3" t="s">
        <v>554</v>
      </c>
      <c r="AD162" s="3" t="s">
        <v>554</v>
      </c>
      <c r="AE162" s="3" t="s">
        <v>591</v>
      </c>
      <c r="AF162" s="9">
        <f t="shared" si="46"/>
        <v>0</v>
      </c>
    </row>
    <row r="163" spans="1:32" x14ac:dyDescent="0.25">
      <c r="A163" s="22" t="s">
        <v>192</v>
      </c>
      <c r="B163" s="24" t="s">
        <v>453</v>
      </c>
      <c r="D163" s="10">
        <v>0.95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26">
        <v>0</v>
      </c>
      <c r="R163" s="4">
        <f t="shared" si="37"/>
        <v>0</v>
      </c>
      <c r="S163" s="5">
        <f t="shared" si="39"/>
        <v>1.6448536269514715</v>
      </c>
      <c r="T163" s="6">
        <f t="shared" si="40"/>
        <v>0</v>
      </c>
      <c r="U163" s="3">
        <v>1</v>
      </c>
      <c r="V163" s="7">
        <f t="shared" si="38"/>
        <v>0.23076923076923078</v>
      </c>
      <c r="W163" s="18">
        <f t="shared" si="41"/>
        <v>0</v>
      </c>
      <c r="X163" s="19">
        <f t="shared" si="42"/>
        <v>0</v>
      </c>
      <c r="Y163" s="8">
        <f t="shared" si="43"/>
        <v>0</v>
      </c>
      <c r="Z163" s="8">
        <f t="shared" si="44"/>
        <v>0</v>
      </c>
      <c r="AA163" s="9">
        <f t="shared" si="45"/>
        <v>0</v>
      </c>
      <c r="AC163" s="3" t="s">
        <v>554</v>
      </c>
      <c r="AD163" s="3" t="s">
        <v>554</v>
      </c>
      <c r="AE163" s="3" t="s">
        <v>591</v>
      </c>
      <c r="AF163" s="9">
        <f t="shared" si="46"/>
        <v>0</v>
      </c>
    </row>
    <row r="164" spans="1:32" x14ac:dyDescent="0.25">
      <c r="A164" s="21" t="s">
        <v>193</v>
      </c>
      <c r="B164" s="23" t="s">
        <v>454</v>
      </c>
      <c r="D164" s="10">
        <v>0.95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26">
        <v>0</v>
      </c>
      <c r="R164" s="4">
        <f t="shared" si="37"/>
        <v>0</v>
      </c>
      <c r="S164" s="5">
        <f t="shared" si="39"/>
        <v>1.6448536269514715</v>
      </c>
      <c r="T164" s="6">
        <f t="shared" si="40"/>
        <v>0</v>
      </c>
      <c r="U164" s="3">
        <v>1</v>
      </c>
      <c r="V164" s="7">
        <f t="shared" si="38"/>
        <v>0.23076923076923078</v>
      </c>
      <c r="W164" s="18">
        <f t="shared" si="41"/>
        <v>0</v>
      </c>
      <c r="X164" s="19">
        <f t="shared" si="42"/>
        <v>0</v>
      </c>
      <c r="Y164" s="8">
        <f t="shared" si="43"/>
        <v>0</v>
      </c>
      <c r="Z164" s="8">
        <f t="shared" si="44"/>
        <v>0</v>
      </c>
      <c r="AA164" s="9">
        <f t="shared" si="45"/>
        <v>0</v>
      </c>
      <c r="AC164" s="3" t="s">
        <v>554</v>
      </c>
      <c r="AD164" s="3" t="s">
        <v>554</v>
      </c>
      <c r="AE164" s="3" t="s">
        <v>591</v>
      </c>
      <c r="AF164" s="9">
        <f t="shared" si="46"/>
        <v>0</v>
      </c>
    </row>
    <row r="165" spans="1:32" x14ac:dyDescent="0.25">
      <c r="A165" s="22" t="s">
        <v>194</v>
      </c>
      <c r="B165" s="24" t="s">
        <v>455</v>
      </c>
      <c r="D165" s="10">
        <v>0.95</v>
      </c>
      <c r="E165" s="1">
        <v>1</v>
      </c>
      <c r="F165" s="1">
        <v>0</v>
      </c>
      <c r="G165" s="1">
        <v>0</v>
      </c>
      <c r="H165" s="1">
        <v>0</v>
      </c>
      <c r="I165" s="1">
        <v>1</v>
      </c>
      <c r="J165" s="1">
        <v>1</v>
      </c>
      <c r="K165" s="1">
        <v>0</v>
      </c>
      <c r="L165" s="1">
        <v>0</v>
      </c>
      <c r="M165" s="1">
        <v>0</v>
      </c>
      <c r="N165" s="1">
        <v>3</v>
      </c>
      <c r="O165" s="1">
        <v>1</v>
      </c>
      <c r="P165" s="1">
        <v>0</v>
      </c>
      <c r="Q165" s="26">
        <v>7</v>
      </c>
      <c r="R165" s="4">
        <f t="shared" si="37"/>
        <v>0.58333333333333337</v>
      </c>
      <c r="S165" s="5">
        <f t="shared" si="39"/>
        <v>1.6448536269514715</v>
      </c>
      <c r="T165" s="6">
        <f t="shared" si="40"/>
        <v>0.90033663737851999</v>
      </c>
      <c r="U165" s="3">
        <v>1</v>
      </c>
      <c r="V165" s="7">
        <f t="shared" si="38"/>
        <v>0.23076923076923078</v>
      </c>
      <c r="W165" s="18">
        <f t="shared" si="41"/>
        <v>1</v>
      </c>
      <c r="X165" s="19">
        <f t="shared" si="42"/>
        <v>0.57263391564755239</v>
      </c>
      <c r="Y165" s="25">
        <f t="shared" si="43"/>
        <v>1</v>
      </c>
      <c r="Z165" s="25">
        <f t="shared" si="44"/>
        <v>2</v>
      </c>
      <c r="AA165" s="9">
        <f t="shared" si="45"/>
        <v>0</v>
      </c>
      <c r="AC165" s="3" t="s">
        <v>554</v>
      </c>
      <c r="AD165" s="3" t="s">
        <v>554</v>
      </c>
      <c r="AE165" s="3" t="s">
        <v>591</v>
      </c>
      <c r="AF165" s="9">
        <f t="shared" si="46"/>
        <v>0</v>
      </c>
    </row>
    <row r="166" spans="1:32" x14ac:dyDescent="0.25">
      <c r="A166" s="21" t="s">
        <v>195</v>
      </c>
      <c r="B166" s="23" t="s">
        <v>456</v>
      </c>
      <c r="D166" s="10">
        <v>0.95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1</v>
      </c>
      <c r="O166" s="1">
        <v>0</v>
      </c>
      <c r="P166" s="1">
        <v>0</v>
      </c>
      <c r="Q166" s="26">
        <v>2</v>
      </c>
      <c r="R166" s="4">
        <f t="shared" si="37"/>
        <v>0.16666666666666666</v>
      </c>
      <c r="S166" s="5">
        <f t="shared" si="39"/>
        <v>1.6448536269514715</v>
      </c>
      <c r="T166" s="6">
        <f t="shared" si="40"/>
        <v>0.38924947208076149</v>
      </c>
      <c r="U166" s="3">
        <v>1</v>
      </c>
      <c r="V166" s="7">
        <f t="shared" si="38"/>
        <v>0.23076923076923078</v>
      </c>
      <c r="W166" s="18">
        <f t="shared" si="41"/>
        <v>1</v>
      </c>
      <c r="X166" s="19">
        <f t="shared" si="42"/>
        <v>0.20125867025739999</v>
      </c>
      <c r="Y166" s="8">
        <f t="shared" si="43"/>
        <v>0</v>
      </c>
      <c r="Z166" s="8">
        <f t="shared" si="44"/>
        <v>1</v>
      </c>
      <c r="AA166" s="9">
        <f t="shared" si="45"/>
        <v>0</v>
      </c>
      <c r="AC166" s="3" t="s">
        <v>554</v>
      </c>
      <c r="AD166" s="3" t="s">
        <v>554</v>
      </c>
      <c r="AE166" s="3" t="s">
        <v>591</v>
      </c>
      <c r="AF166" s="9">
        <f t="shared" si="46"/>
        <v>0</v>
      </c>
    </row>
    <row r="167" spans="1:32" x14ac:dyDescent="0.25">
      <c r="A167" s="22" t="s">
        <v>196</v>
      </c>
      <c r="B167" s="24" t="s">
        <v>457</v>
      </c>
      <c r="D167" s="10">
        <v>0.95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26">
        <v>0</v>
      </c>
      <c r="R167" s="4">
        <f t="shared" si="37"/>
        <v>0</v>
      </c>
      <c r="S167" s="5">
        <f t="shared" si="39"/>
        <v>1.6448536269514715</v>
      </c>
      <c r="T167" s="6">
        <f t="shared" si="40"/>
        <v>0</v>
      </c>
      <c r="U167" s="3">
        <v>1</v>
      </c>
      <c r="V167" s="7">
        <f t="shared" si="38"/>
        <v>0.23076923076923078</v>
      </c>
      <c r="W167" s="18">
        <f t="shared" si="41"/>
        <v>0</v>
      </c>
      <c r="X167" s="19">
        <f t="shared" si="42"/>
        <v>0</v>
      </c>
      <c r="Y167" s="8">
        <f t="shared" si="43"/>
        <v>0</v>
      </c>
      <c r="Z167" s="8">
        <f t="shared" si="44"/>
        <v>0</v>
      </c>
      <c r="AA167" s="9">
        <f t="shared" si="45"/>
        <v>0</v>
      </c>
      <c r="AC167" s="3" t="s">
        <v>554</v>
      </c>
      <c r="AD167" s="3" t="s">
        <v>554</v>
      </c>
      <c r="AE167" s="3" t="s">
        <v>591</v>
      </c>
      <c r="AF167" s="9">
        <f t="shared" si="46"/>
        <v>0</v>
      </c>
    </row>
    <row r="168" spans="1:32" x14ac:dyDescent="0.25">
      <c r="A168" s="21" t="s">
        <v>197</v>
      </c>
      <c r="B168" s="23" t="s">
        <v>458</v>
      </c>
      <c r="D168" s="10">
        <v>0.95</v>
      </c>
      <c r="E168" s="1">
        <v>6</v>
      </c>
      <c r="F168" s="1">
        <v>9</v>
      </c>
      <c r="G168" s="1">
        <v>2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13</v>
      </c>
      <c r="N168" s="1">
        <v>7</v>
      </c>
      <c r="O168" s="1">
        <v>4</v>
      </c>
      <c r="P168" s="1">
        <v>2</v>
      </c>
      <c r="Q168" s="26">
        <v>43</v>
      </c>
      <c r="R168" s="4">
        <f t="shared" si="37"/>
        <v>3.5833333333333335</v>
      </c>
      <c r="S168" s="5">
        <f t="shared" si="39"/>
        <v>1.6448536269514715</v>
      </c>
      <c r="T168" s="6">
        <f t="shared" si="40"/>
        <v>4.3161079549506036</v>
      </c>
      <c r="U168" s="3">
        <v>1</v>
      </c>
      <c r="V168" s="7">
        <f t="shared" si="38"/>
        <v>0.23076923076923078</v>
      </c>
      <c r="W168" s="18">
        <f t="shared" si="41"/>
        <v>4</v>
      </c>
      <c r="X168" s="19">
        <f t="shared" si="42"/>
        <v>3.1074629704504764</v>
      </c>
      <c r="Y168" s="25">
        <f t="shared" si="43"/>
        <v>4</v>
      </c>
      <c r="Z168" s="25">
        <f t="shared" si="44"/>
        <v>8</v>
      </c>
      <c r="AA168" s="9">
        <f t="shared" si="45"/>
        <v>0</v>
      </c>
      <c r="AC168" s="3" t="s">
        <v>560</v>
      </c>
      <c r="AD168" s="3" t="s">
        <v>571</v>
      </c>
      <c r="AE168" s="3" t="s">
        <v>557</v>
      </c>
      <c r="AF168" s="9">
        <f t="shared" si="46"/>
        <v>0</v>
      </c>
    </row>
    <row r="169" spans="1:32" x14ac:dyDescent="0.25">
      <c r="A169" s="22" t="s">
        <v>198</v>
      </c>
      <c r="B169" s="24" t="s">
        <v>459</v>
      </c>
      <c r="D169" s="10">
        <v>0.95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26">
        <v>0</v>
      </c>
      <c r="R169" s="4">
        <f t="shared" si="37"/>
        <v>0</v>
      </c>
      <c r="S169" s="5">
        <f t="shared" si="39"/>
        <v>1.6448536269514715</v>
      </c>
      <c r="T169" s="6">
        <f t="shared" si="40"/>
        <v>0</v>
      </c>
      <c r="U169" s="3">
        <v>3</v>
      </c>
      <c r="V169" s="7">
        <f t="shared" si="38"/>
        <v>0.69230769230769229</v>
      </c>
      <c r="W169" s="18">
        <f t="shared" si="41"/>
        <v>0</v>
      </c>
      <c r="X169" s="19">
        <f t="shared" si="42"/>
        <v>0</v>
      </c>
      <c r="Y169" s="8">
        <f t="shared" si="43"/>
        <v>0</v>
      </c>
      <c r="Z169" s="8">
        <f t="shared" si="44"/>
        <v>0</v>
      </c>
      <c r="AA169" s="9">
        <f t="shared" si="45"/>
        <v>0</v>
      </c>
      <c r="AC169" s="3" t="s">
        <v>554</v>
      </c>
      <c r="AD169" s="3" t="s">
        <v>554</v>
      </c>
      <c r="AE169" s="3" t="s">
        <v>591</v>
      </c>
      <c r="AF169" s="9">
        <f t="shared" si="46"/>
        <v>0</v>
      </c>
    </row>
    <row r="170" spans="1:32" x14ac:dyDescent="0.25">
      <c r="A170" s="21" t="s">
        <v>199</v>
      </c>
      <c r="B170" s="23" t="s">
        <v>460</v>
      </c>
      <c r="D170" s="10">
        <v>0.95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26">
        <v>0</v>
      </c>
      <c r="R170" s="4">
        <f t="shared" si="37"/>
        <v>0</v>
      </c>
      <c r="S170" s="5">
        <f t="shared" si="39"/>
        <v>1.6448536269514715</v>
      </c>
      <c r="T170" s="6">
        <f t="shared" si="40"/>
        <v>0</v>
      </c>
      <c r="U170" s="3">
        <v>3</v>
      </c>
      <c r="V170" s="7">
        <f t="shared" si="38"/>
        <v>0.69230769230769229</v>
      </c>
      <c r="W170" s="18">
        <f t="shared" si="41"/>
        <v>0</v>
      </c>
      <c r="X170" s="19">
        <f t="shared" si="42"/>
        <v>0</v>
      </c>
      <c r="Y170" s="8">
        <f t="shared" si="43"/>
        <v>0</v>
      </c>
      <c r="Z170" s="8">
        <f t="shared" si="44"/>
        <v>0</v>
      </c>
      <c r="AA170" s="9">
        <f t="shared" si="45"/>
        <v>0</v>
      </c>
      <c r="AC170" s="3" t="s">
        <v>554</v>
      </c>
      <c r="AD170" s="3" t="s">
        <v>554</v>
      </c>
      <c r="AE170" s="3" t="s">
        <v>591</v>
      </c>
      <c r="AF170" s="9">
        <f t="shared" si="46"/>
        <v>0</v>
      </c>
    </row>
    <row r="171" spans="1:32" x14ac:dyDescent="0.25">
      <c r="A171" s="22" t="s">
        <v>200</v>
      </c>
      <c r="B171" s="24" t="s">
        <v>461</v>
      </c>
      <c r="D171" s="10">
        <v>0.95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26">
        <v>0</v>
      </c>
      <c r="R171" s="4">
        <f t="shared" si="37"/>
        <v>0</v>
      </c>
      <c r="S171" s="5">
        <f t="shared" si="39"/>
        <v>1.6448536269514715</v>
      </c>
      <c r="T171" s="6">
        <f t="shared" si="40"/>
        <v>0</v>
      </c>
      <c r="U171" s="3">
        <v>3</v>
      </c>
      <c r="V171" s="7">
        <f t="shared" si="38"/>
        <v>0.69230769230769229</v>
      </c>
      <c r="W171" s="18">
        <f t="shared" si="41"/>
        <v>0</v>
      </c>
      <c r="X171" s="19">
        <f t="shared" si="42"/>
        <v>0</v>
      </c>
      <c r="Y171" s="8">
        <f t="shared" si="43"/>
        <v>0</v>
      </c>
      <c r="Z171" s="8">
        <f t="shared" si="44"/>
        <v>0</v>
      </c>
      <c r="AA171" s="9">
        <f t="shared" si="45"/>
        <v>0</v>
      </c>
      <c r="AC171" s="3" t="s">
        <v>554</v>
      </c>
      <c r="AD171" s="3" t="s">
        <v>554</v>
      </c>
      <c r="AE171" s="3" t="s">
        <v>591</v>
      </c>
      <c r="AF171" s="9">
        <f t="shared" si="46"/>
        <v>0</v>
      </c>
    </row>
    <row r="172" spans="1:32" x14ac:dyDescent="0.25">
      <c r="A172" s="21" t="s">
        <v>201</v>
      </c>
      <c r="B172" s="23" t="s">
        <v>462</v>
      </c>
      <c r="D172" s="10">
        <v>0.95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26">
        <v>0</v>
      </c>
      <c r="R172" s="4">
        <f t="shared" si="37"/>
        <v>0</v>
      </c>
      <c r="S172" s="5">
        <f t="shared" si="39"/>
        <v>1.6448536269514715</v>
      </c>
      <c r="T172" s="6">
        <f t="shared" si="40"/>
        <v>0</v>
      </c>
      <c r="U172" s="3">
        <v>1</v>
      </c>
      <c r="V172" s="7">
        <f t="shared" si="38"/>
        <v>0.23076923076923078</v>
      </c>
      <c r="W172" s="18">
        <f t="shared" si="41"/>
        <v>0</v>
      </c>
      <c r="X172" s="19">
        <f t="shared" si="42"/>
        <v>0</v>
      </c>
      <c r="Y172" s="8">
        <f t="shared" si="43"/>
        <v>0</v>
      </c>
      <c r="Z172" s="8">
        <f t="shared" si="44"/>
        <v>0</v>
      </c>
      <c r="AA172" s="9">
        <f t="shared" si="45"/>
        <v>0</v>
      </c>
      <c r="AC172" s="3" t="s">
        <v>554</v>
      </c>
      <c r="AD172" s="3" t="s">
        <v>554</v>
      </c>
      <c r="AE172" s="3" t="s">
        <v>591</v>
      </c>
      <c r="AF172" s="9">
        <f t="shared" si="46"/>
        <v>0</v>
      </c>
    </row>
    <row r="173" spans="1:32" x14ac:dyDescent="0.25">
      <c r="A173" s="22" t="s">
        <v>202</v>
      </c>
      <c r="B173" s="24" t="s">
        <v>463</v>
      </c>
      <c r="D173" s="10">
        <v>0.95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26">
        <v>0</v>
      </c>
      <c r="R173" s="4">
        <f t="shared" si="37"/>
        <v>0</v>
      </c>
      <c r="S173" s="5">
        <f t="shared" si="39"/>
        <v>1.6448536269514715</v>
      </c>
      <c r="T173" s="6">
        <f t="shared" si="40"/>
        <v>0</v>
      </c>
      <c r="U173" s="3">
        <v>1</v>
      </c>
      <c r="V173" s="7">
        <f t="shared" si="38"/>
        <v>0.23076923076923078</v>
      </c>
      <c r="W173" s="18">
        <f t="shared" si="41"/>
        <v>0</v>
      </c>
      <c r="X173" s="19">
        <f t="shared" si="42"/>
        <v>0</v>
      </c>
      <c r="Y173" s="8">
        <f t="shared" si="43"/>
        <v>0</v>
      </c>
      <c r="Z173" s="8">
        <f t="shared" si="44"/>
        <v>0</v>
      </c>
      <c r="AA173" s="9">
        <f t="shared" si="45"/>
        <v>0</v>
      </c>
      <c r="AC173" s="3" t="s">
        <v>554</v>
      </c>
      <c r="AD173" s="3" t="s">
        <v>554</v>
      </c>
      <c r="AE173" s="3" t="s">
        <v>591</v>
      </c>
      <c r="AF173" s="9">
        <f t="shared" si="46"/>
        <v>0</v>
      </c>
    </row>
    <row r="174" spans="1:32" x14ac:dyDescent="0.25">
      <c r="A174" s="21" t="s">
        <v>203</v>
      </c>
      <c r="B174" s="23" t="s">
        <v>464</v>
      </c>
      <c r="D174" s="10">
        <v>0.95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v>0</v>
      </c>
      <c r="L174" s="1">
        <v>0</v>
      </c>
      <c r="M174" s="1">
        <v>0</v>
      </c>
      <c r="N174" s="1">
        <v>3</v>
      </c>
      <c r="O174" s="1">
        <v>1</v>
      </c>
      <c r="P174" s="1">
        <v>0</v>
      </c>
      <c r="Q174" s="26">
        <v>5</v>
      </c>
      <c r="R174" s="4">
        <f t="shared" si="37"/>
        <v>0.41666666666666669</v>
      </c>
      <c r="S174" s="5">
        <f t="shared" si="39"/>
        <v>1.6448536269514715</v>
      </c>
      <c r="T174" s="6">
        <f t="shared" si="40"/>
        <v>0.90033663737851999</v>
      </c>
      <c r="U174" s="3">
        <v>1</v>
      </c>
      <c r="V174" s="7">
        <f t="shared" si="38"/>
        <v>0.23076923076923078</v>
      </c>
      <c r="W174" s="18">
        <f t="shared" si="41"/>
        <v>1</v>
      </c>
      <c r="X174" s="19">
        <f t="shared" si="42"/>
        <v>0.48396399021137931</v>
      </c>
      <c r="Y174" s="25">
        <f t="shared" si="43"/>
        <v>1</v>
      </c>
      <c r="Z174" s="25">
        <f t="shared" si="44"/>
        <v>2</v>
      </c>
      <c r="AA174" s="9">
        <f t="shared" si="45"/>
        <v>0</v>
      </c>
      <c r="AC174" s="3" t="s">
        <v>554</v>
      </c>
      <c r="AD174" s="3" t="s">
        <v>554</v>
      </c>
      <c r="AE174" s="3" t="s">
        <v>591</v>
      </c>
      <c r="AF174" s="9">
        <f t="shared" si="46"/>
        <v>0</v>
      </c>
    </row>
    <row r="175" spans="1:32" x14ac:dyDescent="0.25">
      <c r="A175" s="22" t="s">
        <v>204</v>
      </c>
      <c r="B175" s="24" t="s">
        <v>465</v>
      </c>
      <c r="D175" s="10">
        <v>0.95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26">
        <v>0</v>
      </c>
      <c r="R175" s="4">
        <f t="shared" si="37"/>
        <v>0</v>
      </c>
      <c r="S175" s="5">
        <f t="shared" si="39"/>
        <v>1.6448536269514715</v>
      </c>
      <c r="T175" s="6">
        <f t="shared" si="40"/>
        <v>0</v>
      </c>
      <c r="U175" s="3">
        <v>1</v>
      </c>
      <c r="V175" s="7">
        <f t="shared" si="38"/>
        <v>0.23076923076923078</v>
      </c>
      <c r="W175" s="18">
        <f t="shared" si="41"/>
        <v>0</v>
      </c>
      <c r="X175" s="19">
        <f t="shared" si="42"/>
        <v>0</v>
      </c>
      <c r="Y175" s="8">
        <f t="shared" si="43"/>
        <v>0</v>
      </c>
      <c r="Z175" s="8">
        <f t="shared" si="44"/>
        <v>0</v>
      </c>
      <c r="AA175" s="9">
        <f t="shared" si="45"/>
        <v>0</v>
      </c>
      <c r="AC175" s="3" t="s">
        <v>554</v>
      </c>
      <c r="AD175" s="3" t="s">
        <v>554</v>
      </c>
      <c r="AE175" s="3" t="s">
        <v>591</v>
      </c>
      <c r="AF175" s="9">
        <f t="shared" si="46"/>
        <v>0</v>
      </c>
    </row>
    <row r="176" spans="1:32" x14ac:dyDescent="0.25">
      <c r="A176" s="21" t="s">
        <v>205</v>
      </c>
      <c r="B176" s="23" t="s">
        <v>466</v>
      </c>
      <c r="D176" s="10">
        <v>0.95</v>
      </c>
      <c r="E176" s="1">
        <v>0</v>
      </c>
      <c r="F176" s="1">
        <v>0</v>
      </c>
      <c r="G176" s="1">
        <v>0</v>
      </c>
      <c r="H176" s="1">
        <v>0</v>
      </c>
      <c r="I176" s="1">
        <v>5</v>
      </c>
      <c r="J176" s="1">
        <v>1</v>
      </c>
      <c r="K176" s="1">
        <v>0</v>
      </c>
      <c r="L176" s="1">
        <v>0</v>
      </c>
      <c r="M176" s="1">
        <v>0</v>
      </c>
      <c r="N176" s="1">
        <v>2</v>
      </c>
      <c r="O176" s="1">
        <v>0</v>
      </c>
      <c r="P176" s="1">
        <v>0</v>
      </c>
      <c r="Q176" s="26">
        <v>8</v>
      </c>
      <c r="R176" s="4">
        <f t="shared" si="37"/>
        <v>0.66666666666666663</v>
      </c>
      <c r="S176" s="5">
        <f t="shared" si="39"/>
        <v>1.6448536269514715</v>
      </c>
      <c r="T176" s="6">
        <f t="shared" si="40"/>
        <v>1.4974726182552529</v>
      </c>
      <c r="U176" s="3">
        <v>1</v>
      </c>
      <c r="V176" s="7">
        <f t="shared" si="38"/>
        <v>0.23076923076923078</v>
      </c>
      <c r="W176" s="18">
        <f t="shared" si="41"/>
        <v>2</v>
      </c>
      <c r="X176" s="19">
        <f t="shared" si="42"/>
        <v>0.78949616260650834</v>
      </c>
      <c r="Y176" s="25">
        <f t="shared" si="43"/>
        <v>1</v>
      </c>
      <c r="Z176" s="25">
        <f t="shared" si="44"/>
        <v>3</v>
      </c>
      <c r="AA176" s="9">
        <f t="shared" si="45"/>
        <v>0</v>
      </c>
      <c r="AC176" s="3" t="s">
        <v>561</v>
      </c>
      <c r="AD176" s="3" t="s">
        <v>560</v>
      </c>
      <c r="AE176" s="3" t="s">
        <v>591</v>
      </c>
      <c r="AF176" s="9">
        <f t="shared" si="46"/>
        <v>0</v>
      </c>
    </row>
    <row r="177" spans="1:32" x14ac:dyDescent="0.25">
      <c r="A177" s="22" t="s">
        <v>206</v>
      </c>
      <c r="B177" s="24" t="s">
        <v>467</v>
      </c>
      <c r="D177" s="10">
        <v>0.95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26">
        <v>0</v>
      </c>
      <c r="R177" s="4">
        <f t="shared" si="37"/>
        <v>0</v>
      </c>
      <c r="S177" s="5">
        <f t="shared" si="39"/>
        <v>1.6448536269514715</v>
      </c>
      <c r="T177" s="6">
        <f t="shared" si="40"/>
        <v>0</v>
      </c>
      <c r="U177" s="3">
        <v>1</v>
      </c>
      <c r="V177" s="7">
        <f t="shared" si="38"/>
        <v>0.23076923076923078</v>
      </c>
      <c r="W177" s="18">
        <f t="shared" si="41"/>
        <v>0</v>
      </c>
      <c r="X177" s="19">
        <f t="shared" si="42"/>
        <v>0</v>
      </c>
      <c r="Y177" s="8">
        <f t="shared" si="43"/>
        <v>0</v>
      </c>
      <c r="Z177" s="8">
        <f t="shared" si="44"/>
        <v>0</v>
      </c>
      <c r="AA177" s="9">
        <f t="shared" si="45"/>
        <v>0</v>
      </c>
      <c r="AC177" s="3" t="s">
        <v>554</v>
      </c>
      <c r="AD177" s="3" t="s">
        <v>554</v>
      </c>
      <c r="AE177" s="3" t="s">
        <v>591</v>
      </c>
      <c r="AF177" s="9">
        <f t="shared" si="46"/>
        <v>0</v>
      </c>
    </row>
    <row r="178" spans="1:32" x14ac:dyDescent="0.25">
      <c r="A178" s="21" t="s">
        <v>207</v>
      </c>
      <c r="B178" s="23" t="s">
        <v>468</v>
      </c>
      <c r="D178" s="10">
        <v>0.95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26">
        <v>0</v>
      </c>
      <c r="R178" s="4">
        <f t="shared" si="37"/>
        <v>0</v>
      </c>
      <c r="S178" s="5">
        <f t="shared" si="39"/>
        <v>1.6448536269514715</v>
      </c>
      <c r="T178" s="6">
        <f t="shared" si="40"/>
        <v>0</v>
      </c>
      <c r="U178" s="3">
        <v>1</v>
      </c>
      <c r="V178" s="7">
        <f t="shared" si="38"/>
        <v>0.23076923076923078</v>
      </c>
      <c r="W178" s="18">
        <f t="shared" si="41"/>
        <v>0</v>
      </c>
      <c r="X178" s="19">
        <f t="shared" si="42"/>
        <v>0</v>
      </c>
      <c r="Y178" s="8">
        <f t="shared" si="43"/>
        <v>0</v>
      </c>
      <c r="Z178" s="8">
        <f t="shared" si="44"/>
        <v>0</v>
      </c>
      <c r="AA178" s="9">
        <f t="shared" si="45"/>
        <v>0</v>
      </c>
      <c r="AC178" s="3" t="s">
        <v>554</v>
      </c>
      <c r="AD178" s="3" t="s">
        <v>554</v>
      </c>
      <c r="AE178" s="3" t="s">
        <v>591</v>
      </c>
      <c r="AF178" s="9">
        <f t="shared" si="46"/>
        <v>0</v>
      </c>
    </row>
    <row r="179" spans="1:32" x14ac:dyDescent="0.25">
      <c r="A179" s="22" t="s">
        <v>208</v>
      </c>
      <c r="B179" s="24" t="s">
        <v>469</v>
      </c>
      <c r="D179" s="10">
        <v>0.95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4</v>
      </c>
      <c r="K179" s="1">
        <v>0</v>
      </c>
      <c r="L179" s="1">
        <v>3</v>
      </c>
      <c r="M179" s="1">
        <v>0</v>
      </c>
      <c r="N179" s="1">
        <v>0</v>
      </c>
      <c r="O179" s="1">
        <v>1</v>
      </c>
      <c r="P179" s="1">
        <v>0</v>
      </c>
      <c r="Q179" s="26">
        <v>8</v>
      </c>
      <c r="R179" s="4">
        <f t="shared" si="37"/>
        <v>0.66666666666666663</v>
      </c>
      <c r="S179" s="5">
        <f t="shared" si="39"/>
        <v>1.6448536269514715</v>
      </c>
      <c r="T179" s="6">
        <f t="shared" si="40"/>
        <v>1.3706888336846839</v>
      </c>
      <c r="U179" s="3">
        <v>3</v>
      </c>
      <c r="V179" s="7">
        <f t="shared" si="38"/>
        <v>0.69230769230769229</v>
      </c>
      <c r="W179" s="18">
        <f t="shared" si="41"/>
        <v>2</v>
      </c>
      <c r="X179" s="19">
        <f t="shared" si="42"/>
        <v>1.3082798221464942</v>
      </c>
      <c r="Y179" s="25">
        <f t="shared" si="43"/>
        <v>2</v>
      </c>
      <c r="Z179" s="25">
        <f t="shared" si="44"/>
        <v>4</v>
      </c>
      <c r="AA179" s="9">
        <f t="shared" si="45"/>
        <v>0</v>
      </c>
      <c r="AC179" s="3" t="s">
        <v>554</v>
      </c>
      <c r="AD179" s="3" t="s">
        <v>554</v>
      </c>
      <c r="AE179" s="3" t="s">
        <v>591</v>
      </c>
      <c r="AF179" s="9">
        <f t="shared" si="46"/>
        <v>0</v>
      </c>
    </row>
    <row r="180" spans="1:32" x14ac:dyDescent="0.25">
      <c r="A180" s="21" t="s">
        <v>209</v>
      </c>
      <c r="B180" s="23" t="s">
        <v>470</v>
      </c>
      <c r="D180" s="10">
        <v>0.95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26">
        <v>0</v>
      </c>
      <c r="R180" s="4">
        <f t="shared" si="37"/>
        <v>0</v>
      </c>
      <c r="S180" s="5">
        <f t="shared" si="39"/>
        <v>1.6448536269514715</v>
      </c>
      <c r="T180" s="6">
        <f t="shared" si="40"/>
        <v>0</v>
      </c>
      <c r="U180" s="3">
        <v>1</v>
      </c>
      <c r="V180" s="7">
        <f t="shared" si="38"/>
        <v>0.23076923076923078</v>
      </c>
      <c r="W180" s="18">
        <f t="shared" si="41"/>
        <v>0</v>
      </c>
      <c r="X180" s="19">
        <f t="shared" si="42"/>
        <v>0</v>
      </c>
      <c r="Y180" s="8">
        <f t="shared" si="43"/>
        <v>0</v>
      </c>
      <c r="Z180" s="8">
        <f t="shared" si="44"/>
        <v>0</v>
      </c>
      <c r="AA180" s="9">
        <f t="shared" si="45"/>
        <v>0</v>
      </c>
      <c r="AC180" s="3" t="s">
        <v>554</v>
      </c>
      <c r="AD180" s="3" t="s">
        <v>554</v>
      </c>
      <c r="AE180" s="3" t="s">
        <v>591</v>
      </c>
      <c r="AF180" s="9">
        <f t="shared" si="46"/>
        <v>0</v>
      </c>
    </row>
    <row r="181" spans="1:32" x14ac:dyDescent="0.25">
      <c r="A181" s="22" t="s">
        <v>210</v>
      </c>
      <c r="B181" s="24" t="s">
        <v>471</v>
      </c>
      <c r="D181" s="10">
        <v>0.95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2</v>
      </c>
      <c r="Q181" s="26">
        <v>3</v>
      </c>
      <c r="R181" s="4">
        <f t="shared" si="37"/>
        <v>0.25</v>
      </c>
      <c r="S181" s="5">
        <f t="shared" si="39"/>
        <v>1.6448536269514715</v>
      </c>
      <c r="T181" s="6">
        <f t="shared" si="40"/>
        <v>0.62158156050806102</v>
      </c>
      <c r="U181" s="3">
        <v>1</v>
      </c>
      <c r="V181" s="7">
        <f t="shared" si="38"/>
        <v>0.23076923076923078</v>
      </c>
      <c r="W181" s="18">
        <f t="shared" si="41"/>
        <v>1</v>
      </c>
      <c r="X181" s="19">
        <f t="shared" si="42"/>
        <v>0.31148366319232734</v>
      </c>
      <c r="Y181" s="8">
        <f t="shared" si="43"/>
        <v>0</v>
      </c>
      <c r="Z181" s="8">
        <f t="shared" si="44"/>
        <v>1</v>
      </c>
      <c r="AA181" s="9">
        <f t="shared" si="45"/>
        <v>0</v>
      </c>
      <c r="AC181" s="3" t="s">
        <v>554</v>
      </c>
      <c r="AD181" s="3" t="s">
        <v>554</v>
      </c>
      <c r="AE181" s="3" t="s">
        <v>591</v>
      </c>
      <c r="AF181" s="9">
        <f t="shared" si="46"/>
        <v>0</v>
      </c>
    </row>
    <row r="182" spans="1:32" x14ac:dyDescent="0.25">
      <c r="A182" s="21" t="s">
        <v>211</v>
      </c>
      <c r="B182" s="23" t="s">
        <v>472</v>
      </c>
      <c r="D182" s="10">
        <v>0.95</v>
      </c>
      <c r="E182" s="1">
        <v>0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26">
        <v>1</v>
      </c>
      <c r="R182" s="4">
        <f t="shared" si="37"/>
        <v>8.3333333333333329E-2</v>
      </c>
      <c r="S182" s="5">
        <f t="shared" si="39"/>
        <v>1.6448536269514715</v>
      </c>
      <c r="T182" s="6">
        <f t="shared" si="40"/>
        <v>0.28867513459481287</v>
      </c>
      <c r="U182" s="3">
        <v>1</v>
      </c>
      <c r="V182" s="7">
        <f t="shared" si="38"/>
        <v>0.23076923076923078</v>
      </c>
      <c r="W182" s="18">
        <f t="shared" si="41"/>
        <v>1</v>
      </c>
      <c r="X182" s="19">
        <f t="shared" si="42"/>
        <v>0.12255478529739477</v>
      </c>
      <c r="Y182" s="8">
        <f t="shared" si="43"/>
        <v>0</v>
      </c>
      <c r="Z182" s="8">
        <f t="shared" si="44"/>
        <v>1</v>
      </c>
      <c r="AA182" s="9">
        <f t="shared" si="45"/>
        <v>0</v>
      </c>
      <c r="AC182" s="3" t="s">
        <v>554</v>
      </c>
      <c r="AD182" s="3" t="s">
        <v>554</v>
      </c>
      <c r="AE182" s="3" t="s">
        <v>591</v>
      </c>
      <c r="AF182" s="9">
        <f t="shared" si="46"/>
        <v>0</v>
      </c>
    </row>
    <row r="183" spans="1:32" x14ac:dyDescent="0.25">
      <c r="A183" s="22" t="s">
        <v>212</v>
      </c>
      <c r="B183" s="24" t="s">
        <v>473</v>
      </c>
      <c r="D183" s="10">
        <v>0.95</v>
      </c>
      <c r="E183" s="1">
        <v>3</v>
      </c>
      <c r="F183" s="1">
        <v>3</v>
      </c>
      <c r="G183" s="1">
        <v>6</v>
      </c>
      <c r="H183" s="1">
        <v>2</v>
      </c>
      <c r="I183" s="1">
        <v>0</v>
      </c>
      <c r="J183" s="1">
        <v>3</v>
      </c>
      <c r="K183" s="1">
        <v>2</v>
      </c>
      <c r="L183" s="1">
        <v>2</v>
      </c>
      <c r="M183" s="1">
        <v>2</v>
      </c>
      <c r="N183" s="1">
        <v>5</v>
      </c>
      <c r="O183" s="1">
        <v>1</v>
      </c>
      <c r="P183" s="1">
        <v>6</v>
      </c>
      <c r="Q183" s="26">
        <v>35</v>
      </c>
      <c r="R183" s="4">
        <f t="shared" si="37"/>
        <v>2.9166666666666665</v>
      </c>
      <c r="S183" s="5">
        <f t="shared" si="39"/>
        <v>1.6448536269514715</v>
      </c>
      <c r="T183" s="6">
        <f t="shared" si="40"/>
        <v>1.8809249819912512</v>
      </c>
      <c r="U183" s="3">
        <v>3</v>
      </c>
      <c r="V183" s="7">
        <f t="shared" si="38"/>
        <v>0.69230769230769229</v>
      </c>
      <c r="W183" s="18">
        <f t="shared" si="41"/>
        <v>3</v>
      </c>
      <c r="X183" s="19">
        <f t="shared" si="42"/>
        <v>3.2055752172835548</v>
      </c>
      <c r="Y183" s="25">
        <f t="shared" si="43"/>
        <v>5</v>
      </c>
      <c r="Z183" s="25">
        <f t="shared" si="44"/>
        <v>8</v>
      </c>
      <c r="AA183" s="9">
        <f t="shared" si="45"/>
        <v>0</v>
      </c>
      <c r="AC183" s="3" t="s">
        <v>560</v>
      </c>
      <c r="AD183" s="3" t="s">
        <v>553</v>
      </c>
      <c r="AE183" s="3" t="s">
        <v>568</v>
      </c>
      <c r="AF183" s="9">
        <f t="shared" si="46"/>
        <v>0</v>
      </c>
    </row>
    <row r="184" spans="1:32" x14ac:dyDescent="0.25">
      <c r="A184" s="21" t="s">
        <v>213</v>
      </c>
      <c r="B184" s="23" t="s">
        <v>474</v>
      </c>
      <c r="D184" s="10">
        <v>0.95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26">
        <v>0</v>
      </c>
      <c r="R184" s="4">
        <f t="shared" si="37"/>
        <v>0</v>
      </c>
      <c r="S184" s="5">
        <f t="shared" si="39"/>
        <v>1.6448536269514715</v>
      </c>
      <c r="T184" s="6">
        <f t="shared" si="40"/>
        <v>0</v>
      </c>
      <c r="U184" s="3">
        <v>3</v>
      </c>
      <c r="V184" s="7">
        <f t="shared" si="38"/>
        <v>0.69230769230769229</v>
      </c>
      <c r="W184" s="18">
        <f t="shared" si="41"/>
        <v>0</v>
      </c>
      <c r="X184" s="19">
        <f t="shared" si="42"/>
        <v>0</v>
      </c>
      <c r="Y184" s="8">
        <f t="shared" si="43"/>
        <v>0</v>
      </c>
      <c r="Z184" s="8">
        <f t="shared" si="44"/>
        <v>0</v>
      </c>
      <c r="AA184" s="9">
        <f t="shared" si="45"/>
        <v>0</v>
      </c>
      <c r="AC184" s="3" t="s">
        <v>554</v>
      </c>
      <c r="AD184" s="3" t="s">
        <v>554</v>
      </c>
      <c r="AE184" s="3" t="s">
        <v>591</v>
      </c>
      <c r="AF184" s="9">
        <f t="shared" si="46"/>
        <v>0</v>
      </c>
    </row>
    <row r="185" spans="1:32" x14ac:dyDescent="0.25">
      <c r="A185" s="22" t="s">
        <v>214</v>
      </c>
      <c r="B185" s="24" t="s">
        <v>475</v>
      </c>
      <c r="D185" s="10">
        <v>0.95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26">
        <v>0</v>
      </c>
      <c r="R185" s="4">
        <f t="shared" si="37"/>
        <v>0</v>
      </c>
      <c r="S185" s="5">
        <f t="shared" si="39"/>
        <v>1.6448536269514715</v>
      </c>
      <c r="T185" s="6">
        <f t="shared" si="40"/>
        <v>0</v>
      </c>
      <c r="U185" s="3">
        <v>3</v>
      </c>
      <c r="V185" s="7">
        <f t="shared" si="38"/>
        <v>0.69230769230769229</v>
      </c>
      <c r="W185" s="18">
        <f t="shared" si="41"/>
        <v>0</v>
      </c>
      <c r="X185" s="19">
        <f t="shared" si="42"/>
        <v>0</v>
      </c>
      <c r="Y185" s="8">
        <f t="shared" si="43"/>
        <v>0</v>
      </c>
      <c r="Z185" s="8">
        <f t="shared" si="44"/>
        <v>0</v>
      </c>
      <c r="AA185" s="9">
        <f t="shared" si="45"/>
        <v>0</v>
      </c>
      <c r="AC185" s="3" t="s">
        <v>554</v>
      </c>
      <c r="AD185" s="3" t="s">
        <v>554</v>
      </c>
      <c r="AE185" s="3" t="s">
        <v>591</v>
      </c>
      <c r="AF185" s="9">
        <f t="shared" si="46"/>
        <v>0</v>
      </c>
    </row>
    <row r="186" spans="1:32" x14ac:dyDescent="0.25">
      <c r="A186" s="21" t="s">
        <v>215</v>
      </c>
      <c r="B186" s="23" t="s">
        <v>476</v>
      </c>
      <c r="D186" s="10">
        <v>0.95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26">
        <v>0</v>
      </c>
      <c r="R186" s="4">
        <f t="shared" si="37"/>
        <v>0</v>
      </c>
      <c r="S186" s="5">
        <f t="shared" si="39"/>
        <v>1.6448536269514715</v>
      </c>
      <c r="T186" s="6">
        <f t="shared" si="40"/>
        <v>0</v>
      </c>
      <c r="U186" s="3">
        <v>1</v>
      </c>
      <c r="V186" s="7">
        <f t="shared" si="38"/>
        <v>0.23076923076923078</v>
      </c>
      <c r="W186" s="18">
        <f t="shared" si="41"/>
        <v>0</v>
      </c>
      <c r="X186" s="19">
        <f t="shared" si="42"/>
        <v>0</v>
      </c>
      <c r="Y186" s="8">
        <f t="shared" si="43"/>
        <v>0</v>
      </c>
      <c r="Z186" s="8">
        <f t="shared" si="44"/>
        <v>0</v>
      </c>
      <c r="AA186" s="9">
        <f t="shared" si="45"/>
        <v>0</v>
      </c>
      <c r="AC186" s="3" t="s">
        <v>554</v>
      </c>
      <c r="AD186" s="3" t="s">
        <v>554</v>
      </c>
      <c r="AE186" s="3" t="s">
        <v>591</v>
      </c>
      <c r="AF186" s="9">
        <f t="shared" si="46"/>
        <v>0</v>
      </c>
    </row>
    <row r="187" spans="1:32" x14ac:dyDescent="0.25">
      <c r="A187" s="22" t="s">
        <v>216</v>
      </c>
      <c r="B187" s="24" t="s">
        <v>477</v>
      </c>
      <c r="D187" s="10">
        <v>0.95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26">
        <v>0</v>
      </c>
      <c r="R187" s="4">
        <f t="shared" si="37"/>
        <v>0</v>
      </c>
      <c r="S187" s="5">
        <f t="shared" si="39"/>
        <v>1.6448536269514715</v>
      </c>
      <c r="T187" s="6">
        <f t="shared" si="40"/>
        <v>0</v>
      </c>
      <c r="U187" s="3">
        <v>1</v>
      </c>
      <c r="V187" s="7">
        <f t="shared" si="38"/>
        <v>0.23076923076923078</v>
      </c>
      <c r="W187" s="18">
        <f t="shared" si="41"/>
        <v>0</v>
      </c>
      <c r="X187" s="19">
        <f t="shared" si="42"/>
        <v>0</v>
      </c>
      <c r="Y187" s="8">
        <f t="shared" si="43"/>
        <v>0</v>
      </c>
      <c r="Z187" s="8">
        <f t="shared" si="44"/>
        <v>0</v>
      </c>
      <c r="AA187" s="9">
        <f t="shared" si="45"/>
        <v>0</v>
      </c>
      <c r="AC187" s="3" t="s">
        <v>554</v>
      </c>
      <c r="AD187" s="3" t="s">
        <v>554</v>
      </c>
      <c r="AE187" s="3" t="s">
        <v>591</v>
      </c>
      <c r="AF187" s="9">
        <f t="shared" si="46"/>
        <v>0</v>
      </c>
    </row>
    <row r="188" spans="1:32" x14ac:dyDescent="0.25">
      <c r="A188" s="21" t="s">
        <v>217</v>
      </c>
      <c r="B188" s="23" t="s">
        <v>478</v>
      </c>
      <c r="D188" s="10">
        <v>0.95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26">
        <v>0</v>
      </c>
      <c r="R188" s="4">
        <f t="shared" si="37"/>
        <v>0</v>
      </c>
      <c r="S188" s="5">
        <f t="shared" si="39"/>
        <v>1.6448536269514715</v>
      </c>
      <c r="T188" s="6">
        <f t="shared" si="40"/>
        <v>0</v>
      </c>
      <c r="U188" s="3">
        <v>1</v>
      </c>
      <c r="V188" s="7">
        <f t="shared" si="38"/>
        <v>0.23076923076923078</v>
      </c>
      <c r="W188" s="18">
        <f t="shared" si="41"/>
        <v>0</v>
      </c>
      <c r="X188" s="19">
        <f t="shared" si="42"/>
        <v>0</v>
      </c>
      <c r="Y188" s="8">
        <f t="shared" si="43"/>
        <v>0</v>
      </c>
      <c r="Z188" s="8">
        <f t="shared" si="44"/>
        <v>0</v>
      </c>
      <c r="AA188" s="9">
        <f t="shared" si="45"/>
        <v>0</v>
      </c>
      <c r="AC188" s="3" t="s">
        <v>554</v>
      </c>
      <c r="AD188" s="3" t="s">
        <v>554</v>
      </c>
      <c r="AE188" s="3" t="s">
        <v>591</v>
      </c>
      <c r="AF188" s="9">
        <f t="shared" si="46"/>
        <v>0</v>
      </c>
    </row>
    <row r="189" spans="1:32" x14ac:dyDescent="0.25">
      <c r="A189" s="22" t="s">
        <v>218</v>
      </c>
      <c r="B189" s="24" t="s">
        <v>479</v>
      </c>
      <c r="D189" s="10">
        <v>0.95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26">
        <v>0</v>
      </c>
      <c r="R189" s="4">
        <f t="shared" si="37"/>
        <v>0</v>
      </c>
      <c r="S189" s="5">
        <f t="shared" si="39"/>
        <v>1.6448536269514715</v>
      </c>
      <c r="T189" s="6">
        <f t="shared" si="40"/>
        <v>0</v>
      </c>
      <c r="U189" s="3">
        <v>1</v>
      </c>
      <c r="V189" s="7">
        <f t="shared" si="38"/>
        <v>0.23076923076923078</v>
      </c>
      <c r="W189" s="18">
        <f t="shared" si="41"/>
        <v>0</v>
      </c>
      <c r="X189" s="19">
        <f t="shared" si="42"/>
        <v>0</v>
      </c>
      <c r="Y189" s="8">
        <f t="shared" si="43"/>
        <v>0</v>
      </c>
      <c r="Z189" s="8">
        <f t="shared" si="44"/>
        <v>0</v>
      </c>
      <c r="AA189" s="9">
        <f t="shared" si="45"/>
        <v>0</v>
      </c>
      <c r="AC189" s="3" t="s">
        <v>554</v>
      </c>
      <c r="AD189" s="3" t="s">
        <v>554</v>
      </c>
      <c r="AE189" s="3" t="s">
        <v>591</v>
      </c>
      <c r="AF189" s="9">
        <f t="shared" si="46"/>
        <v>0</v>
      </c>
    </row>
    <row r="190" spans="1:32" x14ac:dyDescent="0.25">
      <c r="A190" s="21" t="s">
        <v>219</v>
      </c>
      <c r="B190" s="23" t="s">
        <v>480</v>
      </c>
      <c r="D190" s="10">
        <v>0.95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26">
        <v>0</v>
      </c>
      <c r="R190" s="4">
        <f t="shared" si="37"/>
        <v>0</v>
      </c>
      <c r="S190" s="5">
        <f t="shared" si="39"/>
        <v>1.6448536269514715</v>
      </c>
      <c r="T190" s="6">
        <f t="shared" si="40"/>
        <v>0</v>
      </c>
      <c r="U190" s="3">
        <v>1</v>
      </c>
      <c r="V190" s="7">
        <f t="shared" si="38"/>
        <v>0.23076923076923078</v>
      </c>
      <c r="W190" s="18">
        <f t="shared" si="41"/>
        <v>0</v>
      </c>
      <c r="X190" s="19">
        <f t="shared" si="42"/>
        <v>0</v>
      </c>
      <c r="Y190" s="8">
        <f t="shared" si="43"/>
        <v>0</v>
      </c>
      <c r="Z190" s="8">
        <f t="shared" si="44"/>
        <v>0</v>
      </c>
      <c r="AA190" s="9">
        <f t="shared" si="45"/>
        <v>0</v>
      </c>
      <c r="AC190" s="3" t="s">
        <v>554</v>
      </c>
      <c r="AD190" s="3" t="s">
        <v>554</v>
      </c>
      <c r="AE190" s="3" t="s">
        <v>591</v>
      </c>
      <c r="AF190" s="9">
        <f t="shared" si="46"/>
        <v>0</v>
      </c>
    </row>
    <row r="191" spans="1:32" x14ac:dyDescent="0.25">
      <c r="A191" s="22" t="s">
        <v>220</v>
      </c>
      <c r="B191" s="24" t="s">
        <v>481</v>
      </c>
      <c r="D191" s="10">
        <v>0.95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26">
        <v>0</v>
      </c>
      <c r="R191" s="4">
        <f t="shared" si="37"/>
        <v>0</v>
      </c>
      <c r="S191" s="5">
        <f t="shared" si="39"/>
        <v>1.6448536269514715</v>
      </c>
      <c r="T191" s="6">
        <f t="shared" si="40"/>
        <v>0</v>
      </c>
      <c r="U191" s="3">
        <v>1</v>
      </c>
      <c r="V191" s="7">
        <f t="shared" si="38"/>
        <v>0.23076923076923078</v>
      </c>
      <c r="W191" s="18">
        <f t="shared" si="41"/>
        <v>0</v>
      </c>
      <c r="X191" s="19">
        <f t="shared" si="42"/>
        <v>0</v>
      </c>
      <c r="Y191" s="8">
        <f t="shared" si="43"/>
        <v>0</v>
      </c>
      <c r="Z191" s="8">
        <f t="shared" si="44"/>
        <v>0</v>
      </c>
      <c r="AA191" s="9">
        <f t="shared" si="45"/>
        <v>0</v>
      </c>
      <c r="AC191" s="3" t="s">
        <v>554</v>
      </c>
      <c r="AD191" s="3" t="s">
        <v>554</v>
      </c>
      <c r="AE191" s="3" t="s">
        <v>591</v>
      </c>
      <c r="AF191" s="9">
        <f t="shared" si="46"/>
        <v>0</v>
      </c>
    </row>
    <row r="192" spans="1:32" x14ac:dyDescent="0.25">
      <c r="A192" s="21" t="s">
        <v>221</v>
      </c>
      <c r="B192" s="23" t="s">
        <v>482</v>
      </c>
      <c r="D192" s="10">
        <v>0.95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26">
        <v>0</v>
      </c>
      <c r="R192" s="4">
        <f t="shared" si="37"/>
        <v>0</v>
      </c>
      <c r="S192" s="5">
        <f t="shared" si="39"/>
        <v>1.6448536269514715</v>
      </c>
      <c r="T192" s="6">
        <f t="shared" si="40"/>
        <v>0</v>
      </c>
      <c r="U192" s="3">
        <v>1</v>
      </c>
      <c r="V192" s="7">
        <f t="shared" si="38"/>
        <v>0.23076923076923078</v>
      </c>
      <c r="W192" s="18">
        <f t="shared" si="41"/>
        <v>0</v>
      </c>
      <c r="X192" s="19">
        <f t="shared" si="42"/>
        <v>0</v>
      </c>
      <c r="Y192" s="8">
        <f t="shared" si="43"/>
        <v>0</v>
      </c>
      <c r="Z192" s="8">
        <f t="shared" si="44"/>
        <v>0</v>
      </c>
      <c r="AA192" s="9">
        <f t="shared" si="45"/>
        <v>0</v>
      </c>
      <c r="AC192" s="3" t="s">
        <v>554</v>
      </c>
      <c r="AD192" s="3" t="s">
        <v>554</v>
      </c>
      <c r="AE192" s="3" t="s">
        <v>591</v>
      </c>
      <c r="AF192" s="9">
        <f t="shared" si="46"/>
        <v>0</v>
      </c>
    </row>
    <row r="193" spans="1:32" x14ac:dyDescent="0.25">
      <c r="A193" s="22" t="s">
        <v>222</v>
      </c>
      <c r="B193" s="24" t="s">
        <v>483</v>
      </c>
      <c r="D193" s="10">
        <v>0.95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26">
        <v>0</v>
      </c>
      <c r="R193" s="4">
        <f t="shared" si="37"/>
        <v>0</v>
      </c>
      <c r="S193" s="5">
        <f t="shared" si="39"/>
        <v>1.6448536269514715</v>
      </c>
      <c r="T193" s="6">
        <f t="shared" si="40"/>
        <v>0</v>
      </c>
      <c r="U193" s="3">
        <v>1</v>
      </c>
      <c r="V193" s="7">
        <f t="shared" si="38"/>
        <v>0.23076923076923078</v>
      </c>
      <c r="W193" s="18">
        <f t="shared" si="41"/>
        <v>0</v>
      </c>
      <c r="X193" s="19">
        <f t="shared" si="42"/>
        <v>0</v>
      </c>
      <c r="Y193" s="8">
        <f t="shared" si="43"/>
        <v>0</v>
      </c>
      <c r="Z193" s="8">
        <f t="shared" si="44"/>
        <v>0</v>
      </c>
      <c r="AA193" s="9">
        <f t="shared" si="45"/>
        <v>0</v>
      </c>
      <c r="AC193" s="3" t="s">
        <v>554</v>
      </c>
      <c r="AD193" s="3" t="s">
        <v>554</v>
      </c>
      <c r="AE193" s="3" t="s">
        <v>591</v>
      </c>
      <c r="AF193" s="9">
        <f t="shared" si="46"/>
        <v>0</v>
      </c>
    </row>
    <row r="194" spans="1:32" x14ac:dyDescent="0.25">
      <c r="A194" s="21" t="s">
        <v>223</v>
      </c>
      <c r="B194" s="23" t="s">
        <v>484</v>
      </c>
      <c r="D194" s="10">
        <v>0.95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26">
        <v>0</v>
      </c>
      <c r="R194" s="4">
        <f t="shared" si="37"/>
        <v>0</v>
      </c>
      <c r="S194" s="5">
        <f t="shared" si="39"/>
        <v>1.6448536269514715</v>
      </c>
      <c r="T194" s="6">
        <f t="shared" si="40"/>
        <v>0</v>
      </c>
      <c r="U194" s="3">
        <v>1</v>
      </c>
      <c r="V194" s="7">
        <f t="shared" si="38"/>
        <v>0.23076923076923078</v>
      </c>
      <c r="W194" s="18">
        <f t="shared" si="41"/>
        <v>0</v>
      </c>
      <c r="X194" s="19">
        <f t="shared" si="42"/>
        <v>0</v>
      </c>
      <c r="Y194" s="8">
        <f t="shared" si="43"/>
        <v>0</v>
      </c>
      <c r="Z194" s="8">
        <f t="shared" si="44"/>
        <v>0</v>
      </c>
      <c r="AA194" s="9">
        <f t="shared" si="45"/>
        <v>0</v>
      </c>
      <c r="AC194" s="3" t="s">
        <v>554</v>
      </c>
      <c r="AD194" s="3" t="s">
        <v>554</v>
      </c>
      <c r="AE194" s="3" t="s">
        <v>591</v>
      </c>
      <c r="AF194" s="9">
        <f t="shared" si="46"/>
        <v>0</v>
      </c>
    </row>
    <row r="195" spans="1:32" x14ac:dyDescent="0.25">
      <c r="A195" s="22" t="s">
        <v>224</v>
      </c>
      <c r="B195" s="24" t="s">
        <v>485</v>
      </c>
      <c r="D195" s="10">
        <v>0.95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26">
        <v>0</v>
      </c>
      <c r="R195" s="4">
        <f t="shared" ref="R195:R258" si="47">Q195/12</f>
        <v>0</v>
      </c>
      <c r="S195" s="5">
        <f t="shared" si="39"/>
        <v>1.6448536269514715</v>
      </c>
      <c r="T195" s="6">
        <f t="shared" si="40"/>
        <v>0</v>
      </c>
      <c r="U195" s="3">
        <v>1</v>
      </c>
      <c r="V195" s="7">
        <f t="shared" ref="V195:V258" si="48">U195/52*12</f>
        <v>0.23076923076923078</v>
      </c>
      <c r="W195" s="18">
        <f t="shared" si="41"/>
        <v>0</v>
      </c>
      <c r="X195" s="19">
        <f t="shared" si="42"/>
        <v>0</v>
      </c>
      <c r="Y195" s="8">
        <f t="shared" si="43"/>
        <v>0</v>
      </c>
      <c r="Z195" s="8">
        <f t="shared" si="44"/>
        <v>0</v>
      </c>
      <c r="AA195" s="9">
        <f t="shared" si="45"/>
        <v>0</v>
      </c>
      <c r="AC195" s="3" t="s">
        <v>554</v>
      </c>
      <c r="AD195" s="3" t="s">
        <v>554</v>
      </c>
      <c r="AE195" s="3" t="s">
        <v>591</v>
      </c>
      <c r="AF195" s="9">
        <f t="shared" si="46"/>
        <v>0</v>
      </c>
    </row>
    <row r="196" spans="1:32" x14ac:dyDescent="0.25">
      <c r="A196" s="21" t="s">
        <v>225</v>
      </c>
      <c r="B196" s="23" t="s">
        <v>486</v>
      </c>
      <c r="D196" s="10">
        <v>0.95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26">
        <v>0</v>
      </c>
      <c r="R196" s="4">
        <f t="shared" si="47"/>
        <v>0</v>
      </c>
      <c r="S196" s="5">
        <f t="shared" si="39"/>
        <v>1.6448536269514715</v>
      </c>
      <c r="T196" s="6">
        <f t="shared" si="40"/>
        <v>0</v>
      </c>
      <c r="U196" s="3">
        <v>1</v>
      </c>
      <c r="V196" s="7">
        <f t="shared" si="48"/>
        <v>0.23076923076923078</v>
      </c>
      <c r="W196" s="18">
        <f t="shared" si="41"/>
        <v>0</v>
      </c>
      <c r="X196" s="19">
        <f t="shared" si="42"/>
        <v>0</v>
      </c>
      <c r="Y196" s="8">
        <f t="shared" si="43"/>
        <v>0</v>
      </c>
      <c r="Z196" s="8">
        <f t="shared" si="44"/>
        <v>0</v>
      </c>
      <c r="AA196" s="9">
        <f t="shared" si="45"/>
        <v>0</v>
      </c>
      <c r="AC196" s="3" t="s">
        <v>554</v>
      </c>
      <c r="AD196" s="3" t="s">
        <v>554</v>
      </c>
      <c r="AE196" s="3" t="s">
        <v>591</v>
      </c>
      <c r="AF196" s="9">
        <f t="shared" si="46"/>
        <v>0</v>
      </c>
    </row>
    <row r="197" spans="1:32" x14ac:dyDescent="0.25">
      <c r="A197" s="22" t="s">
        <v>226</v>
      </c>
      <c r="B197" s="24" t="s">
        <v>487</v>
      </c>
      <c r="D197" s="10">
        <v>0.95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26">
        <v>0</v>
      </c>
      <c r="R197" s="4">
        <f t="shared" si="47"/>
        <v>0</v>
      </c>
      <c r="S197" s="5">
        <f t="shared" si="39"/>
        <v>1.6448536269514715</v>
      </c>
      <c r="T197" s="6">
        <f t="shared" si="40"/>
        <v>0</v>
      </c>
      <c r="U197" s="3">
        <v>1</v>
      </c>
      <c r="V197" s="7">
        <f t="shared" si="48"/>
        <v>0.23076923076923078</v>
      </c>
      <c r="W197" s="18">
        <f t="shared" si="41"/>
        <v>0</v>
      </c>
      <c r="X197" s="19">
        <f t="shared" si="42"/>
        <v>0</v>
      </c>
      <c r="Y197" s="8">
        <f t="shared" si="43"/>
        <v>0</v>
      </c>
      <c r="Z197" s="8">
        <f t="shared" si="44"/>
        <v>0</v>
      </c>
      <c r="AA197" s="9">
        <f t="shared" si="45"/>
        <v>0</v>
      </c>
      <c r="AC197" s="3" t="s">
        <v>554</v>
      </c>
      <c r="AD197" s="3" t="s">
        <v>554</v>
      </c>
      <c r="AE197" s="3" t="s">
        <v>591</v>
      </c>
      <c r="AF197" s="9">
        <f t="shared" si="46"/>
        <v>0</v>
      </c>
    </row>
    <row r="198" spans="1:32" x14ac:dyDescent="0.25">
      <c r="A198" s="21" t="s">
        <v>227</v>
      </c>
      <c r="B198" s="23" t="s">
        <v>488</v>
      </c>
      <c r="D198" s="10">
        <v>0.95</v>
      </c>
      <c r="E198" s="1">
        <v>0</v>
      </c>
      <c r="F198" s="1">
        <v>0</v>
      </c>
      <c r="G198" s="1">
        <v>5</v>
      </c>
      <c r="H198" s="1">
        <v>0</v>
      </c>
      <c r="I198" s="1">
        <v>2</v>
      </c>
      <c r="J198" s="1">
        <v>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26">
        <v>8</v>
      </c>
      <c r="R198" s="4">
        <f t="shared" si="47"/>
        <v>0.66666666666666663</v>
      </c>
      <c r="S198" s="5">
        <f t="shared" si="39"/>
        <v>1.6448536269514715</v>
      </c>
      <c r="T198" s="6">
        <f t="shared" si="40"/>
        <v>1.4974726182552529</v>
      </c>
      <c r="U198" s="3">
        <v>1</v>
      </c>
      <c r="V198" s="7">
        <f t="shared" si="48"/>
        <v>0.23076923076923078</v>
      </c>
      <c r="W198" s="18">
        <f t="shared" si="41"/>
        <v>2</v>
      </c>
      <c r="X198" s="19">
        <f t="shared" si="42"/>
        <v>0.78949616260650834</v>
      </c>
      <c r="Y198" s="25">
        <f t="shared" si="43"/>
        <v>1</v>
      </c>
      <c r="Z198" s="25">
        <f t="shared" si="44"/>
        <v>3</v>
      </c>
      <c r="AA198" s="9">
        <f t="shared" si="45"/>
        <v>0</v>
      </c>
      <c r="AC198" s="3" t="s">
        <v>561</v>
      </c>
      <c r="AD198" s="3" t="s">
        <v>560</v>
      </c>
      <c r="AE198" s="3" t="s">
        <v>591</v>
      </c>
      <c r="AF198" s="9">
        <f t="shared" si="46"/>
        <v>0</v>
      </c>
    </row>
    <row r="199" spans="1:32" x14ac:dyDescent="0.25">
      <c r="A199" s="22" t="s">
        <v>228</v>
      </c>
      <c r="B199" s="24" t="s">
        <v>489</v>
      </c>
      <c r="D199" s="10">
        <v>0.95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26">
        <v>0</v>
      </c>
      <c r="R199" s="4">
        <f t="shared" si="47"/>
        <v>0</v>
      </c>
      <c r="S199" s="5">
        <f t="shared" si="39"/>
        <v>1.6448536269514715</v>
      </c>
      <c r="T199" s="6">
        <f t="shared" si="40"/>
        <v>0</v>
      </c>
      <c r="U199" s="3">
        <v>1</v>
      </c>
      <c r="V199" s="7">
        <f t="shared" si="48"/>
        <v>0.23076923076923078</v>
      </c>
      <c r="W199" s="18">
        <f t="shared" si="41"/>
        <v>0</v>
      </c>
      <c r="X199" s="19">
        <f t="shared" si="42"/>
        <v>0</v>
      </c>
      <c r="Y199" s="8">
        <f t="shared" si="43"/>
        <v>0</v>
      </c>
      <c r="Z199" s="8">
        <f t="shared" si="44"/>
        <v>0</v>
      </c>
      <c r="AA199" s="9">
        <f t="shared" si="45"/>
        <v>0</v>
      </c>
      <c r="AC199" s="3" t="s">
        <v>554</v>
      </c>
      <c r="AD199" s="3" t="s">
        <v>554</v>
      </c>
      <c r="AE199" s="3" t="s">
        <v>591</v>
      </c>
      <c r="AF199" s="9">
        <f t="shared" si="46"/>
        <v>0</v>
      </c>
    </row>
    <row r="200" spans="1:32" x14ac:dyDescent="0.25">
      <c r="A200" s="21" t="s">
        <v>229</v>
      </c>
      <c r="B200" s="23" t="s">
        <v>490</v>
      </c>
      <c r="D200" s="10">
        <v>0.95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26">
        <v>0</v>
      </c>
      <c r="R200" s="4">
        <f t="shared" si="47"/>
        <v>0</v>
      </c>
      <c r="S200" s="5">
        <f t="shared" si="39"/>
        <v>1.6448536269514715</v>
      </c>
      <c r="T200" s="6">
        <f t="shared" si="40"/>
        <v>0</v>
      </c>
      <c r="U200" s="3">
        <v>1</v>
      </c>
      <c r="V200" s="7">
        <f t="shared" si="48"/>
        <v>0.23076923076923078</v>
      </c>
      <c r="W200" s="18">
        <f t="shared" si="41"/>
        <v>0</v>
      </c>
      <c r="X200" s="19">
        <f t="shared" si="42"/>
        <v>0</v>
      </c>
      <c r="Y200" s="8">
        <f t="shared" si="43"/>
        <v>0</v>
      </c>
      <c r="Z200" s="8">
        <f t="shared" si="44"/>
        <v>0</v>
      </c>
      <c r="AA200" s="9">
        <f t="shared" si="45"/>
        <v>0</v>
      </c>
      <c r="AC200" s="3" t="s">
        <v>554</v>
      </c>
      <c r="AD200" s="3" t="s">
        <v>554</v>
      </c>
      <c r="AE200" s="3" t="s">
        <v>591</v>
      </c>
      <c r="AF200" s="9">
        <f t="shared" si="46"/>
        <v>0</v>
      </c>
    </row>
    <row r="201" spans="1:32" x14ac:dyDescent="0.25">
      <c r="A201" s="22" t="s">
        <v>230</v>
      </c>
      <c r="B201" s="24" t="s">
        <v>491</v>
      </c>
      <c r="D201" s="10">
        <v>0.95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26">
        <v>0</v>
      </c>
      <c r="R201" s="4">
        <f t="shared" si="47"/>
        <v>0</v>
      </c>
      <c r="S201" s="5">
        <f t="shared" si="39"/>
        <v>1.6448536269514715</v>
      </c>
      <c r="T201" s="6">
        <f t="shared" si="40"/>
        <v>0</v>
      </c>
      <c r="U201" s="3">
        <v>1</v>
      </c>
      <c r="V201" s="7">
        <f t="shared" si="48"/>
        <v>0.23076923076923078</v>
      </c>
      <c r="W201" s="18">
        <f t="shared" si="41"/>
        <v>0</v>
      </c>
      <c r="X201" s="19">
        <f t="shared" si="42"/>
        <v>0</v>
      </c>
      <c r="Y201" s="8">
        <f t="shared" si="43"/>
        <v>0</v>
      </c>
      <c r="Z201" s="8">
        <f t="shared" si="44"/>
        <v>0</v>
      </c>
      <c r="AA201" s="9">
        <f t="shared" si="45"/>
        <v>0</v>
      </c>
      <c r="AC201" s="3" t="s">
        <v>554</v>
      </c>
      <c r="AD201" s="3" t="s">
        <v>554</v>
      </c>
      <c r="AE201" s="3" t="s">
        <v>591</v>
      </c>
      <c r="AF201" s="9">
        <f t="shared" si="46"/>
        <v>0</v>
      </c>
    </row>
    <row r="202" spans="1:32" x14ac:dyDescent="0.25">
      <c r="A202" s="21" t="s">
        <v>231</v>
      </c>
      <c r="B202" s="23" t="s">
        <v>492</v>
      </c>
      <c r="D202" s="10">
        <v>0.95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26">
        <v>0</v>
      </c>
      <c r="R202" s="4">
        <f t="shared" si="47"/>
        <v>0</v>
      </c>
      <c r="S202" s="5">
        <f t="shared" si="39"/>
        <v>1.6448536269514715</v>
      </c>
      <c r="T202" s="6">
        <f t="shared" si="40"/>
        <v>0</v>
      </c>
      <c r="U202" s="3">
        <v>1</v>
      </c>
      <c r="V202" s="7">
        <f t="shared" si="48"/>
        <v>0.23076923076923078</v>
      </c>
      <c r="W202" s="18">
        <f t="shared" si="41"/>
        <v>0</v>
      </c>
      <c r="X202" s="19">
        <f t="shared" si="42"/>
        <v>0</v>
      </c>
      <c r="Y202" s="8">
        <f t="shared" si="43"/>
        <v>0</v>
      </c>
      <c r="Z202" s="8">
        <f t="shared" si="44"/>
        <v>0</v>
      </c>
      <c r="AA202" s="9">
        <f t="shared" si="45"/>
        <v>0</v>
      </c>
      <c r="AC202" s="3" t="s">
        <v>554</v>
      </c>
      <c r="AD202" s="3" t="s">
        <v>554</v>
      </c>
      <c r="AE202" s="3" t="s">
        <v>591</v>
      </c>
      <c r="AF202" s="9">
        <f t="shared" si="46"/>
        <v>0</v>
      </c>
    </row>
    <row r="203" spans="1:32" x14ac:dyDescent="0.25">
      <c r="A203" s="22" t="s">
        <v>232</v>
      </c>
      <c r="B203" s="24" t="s">
        <v>493</v>
      </c>
      <c r="D203" s="10">
        <v>0.95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26">
        <v>0</v>
      </c>
      <c r="R203" s="4">
        <f t="shared" si="47"/>
        <v>0</v>
      </c>
      <c r="S203" s="5">
        <f t="shared" si="39"/>
        <v>1.6448536269514715</v>
      </c>
      <c r="T203" s="6">
        <f t="shared" si="40"/>
        <v>0</v>
      </c>
      <c r="U203" s="3">
        <v>1</v>
      </c>
      <c r="V203" s="7">
        <f t="shared" si="48"/>
        <v>0.23076923076923078</v>
      </c>
      <c r="W203" s="18">
        <f t="shared" si="41"/>
        <v>0</v>
      </c>
      <c r="X203" s="19">
        <f t="shared" si="42"/>
        <v>0</v>
      </c>
      <c r="Y203" s="8">
        <f t="shared" si="43"/>
        <v>0</v>
      </c>
      <c r="Z203" s="8">
        <f t="shared" si="44"/>
        <v>0</v>
      </c>
      <c r="AA203" s="9">
        <f t="shared" si="45"/>
        <v>0</v>
      </c>
      <c r="AC203" s="3" t="s">
        <v>554</v>
      </c>
      <c r="AD203" s="3" t="s">
        <v>554</v>
      </c>
      <c r="AE203" s="3" t="s">
        <v>591</v>
      </c>
      <c r="AF203" s="9">
        <f t="shared" si="46"/>
        <v>0</v>
      </c>
    </row>
    <row r="204" spans="1:32" x14ac:dyDescent="0.25">
      <c r="A204" s="21" t="s">
        <v>233</v>
      </c>
      <c r="B204" s="23" t="s">
        <v>494</v>
      </c>
      <c r="D204" s="10">
        <v>0.95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26">
        <v>0</v>
      </c>
      <c r="R204" s="4">
        <f t="shared" si="47"/>
        <v>0</v>
      </c>
      <c r="S204" s="5">
        <f t="shared" si="39"/>
        <v>1.6448536269514715</v>
      </c>
      <c r="T204" s="6">
        <f t="shared" si="40"/>
        <v>0</v>
      </c>
      <c r="U204" s="3">
        <v>1</v>
      </c>
      <c r="V204" s="7">
        <f t="shared" si="48"/>
        <v>0.23076923076923078</v>
      </c>
      <c r="W204" s="18">
        <f t="shared" si="41"/>
        <v>0</v>
      </c>
      <c r="X204" s="19">
        <f t="shared" si="42"/>
        <v>0</v>
      </c>
      <c r="Y204" s="8">
        <f t="shared" si="43"/>
        <v>0</v>
      </c>
      <c r="Z204" s="8">
        <f t="shared" si="44"/>
        <v>0</v>
      </c>
      <c r="AA204" s="9">
        <f t="shared" si="45"/>
        <v>0</v>
      </c>
      <c r="AC204" s="3" t="s">
        <v>554</v>
      </c>
      <c r="AD204" s="3" t="s">
        <v>554</v>
      </c>
      <c r="AE204" s="3" t="s">
        <v>591</v>
      </c>
      <c r="AF204" s="9">
        <f t="shared" si="46"/>
        <v>0</v>
      </c>
    </row>
    <row r="205" spans="1:32" x14ac:dyDescent="0.25">
      <c r="A205" s="22" t="s">
        <v>234</v>
      </c>
      <c r="B205" s="24" t="s">
        <v>495</v>
      </c>
      <c r="D205" s="10">
        <v>0.95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26">
        <v>0</v>
      </c>
      <c r="R205" s="4">
        <f t="shared" si="47"/>
        <v>0</v>
      </c>
      <c r="S205" s="5">
        <f t="shared" si="39"/>
        <v>1.6448536269514715</v>
      </c>
      <c r="T205" s="6">
        <f t="shared" si="40"/>
        <v>0</v>
      </c>
      <c r="U205" s="3">
        <v>1</v>
      </c>
      <c r="V205" s="7">
        <f t="shared" si="48"/>
        <v>0.23076923076923078</v>
      </c>
      <c r="W205" s="18">
        <f t="shared" si="41"/>
        <v>0</v>
      </c>
      <c r="X205" s="19">
        <f t="shared" si="42"/>
        <v>0</v>
      </c>
      <c r="Y205" s="8">
        <f t="shared" si="43"/>
        <v>0</v>
      </c>
      <c r="Z205" s="8">
        <f t="shared" si="44"/>
        <v>0</v>
      </c>
      <c r="AA205" s="9">
        <f t="shared" si="45"/>
        <v>0</v>
      </c>
      <c r="AC205" s="3" t="s">
        <v>554</v>
      </c>
      <c r="AD205" s="3" t="s">
        <v>554</v>
      </c>
      <c r="AE205" s="3" t="s">
        <v>591</v>
      </c>
      <c r="AF205" s="9">
        <f t="shared" si="46"/>
        <v>0</v>
      </c>
    </row>
    <row r="206" spans="1:32" x14ac:dyDescent="0.25">
      <c r="A206" s="21" t="s">
        <v>235</v>
      </c>
      <c r="B206" s="23" t="s">
        <v>496</v>
      </c>
      <c r="D206" s="10">
        <v>0.95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26">
        <v>0</v>
      </c>
      <c r="R206" s="4">
        <f t="shared" si="47"/>
        <v>0</v>
      </c>
      <c r="S206" s="5">
        <f t="shared" si="39"/>
        <v>1.6448536269514715</v>
      </c>
      <c r="T206" s="6">
        <f t="shared" si="40"/>
        <v>0</v>
      </c>
      <c r="U206" s="3">
        <v>1</v>
      </c>
      <c r="V206" s="7">
        <f t="shared" si="48"/>
        <v>0.23076923076923078</v>
      </c>
      <c r="W206" s="18">
        <f t="shared" si="41"/>
        <v>0</v>
      </c>
      <c r="X206" s="19">
        <f t="shared" si="42"/>
        <v>0</v>
      </c>
      <c r="Y206" s="8">
        <f t="shared" si="43"/>
        <v>0</v>
      </c>
      <c r="Z206" s="8">
        <f t="shared" si="44"/>
        <v>0</v>
      </c>
      <c r="AA206" s="9">
        <f t="shared" si="45"/>
        <v>0</v>
      </c>
      <c r="AC206" s="3" t="s">
        <v>554</v>
      </c>
      <c r="AD206" s="3" t="s">
        <v>554</v>
      </c>
      <c r="AE206" s="3" t="s">
        <v>591</v>
      </c>
      <c r="AF206" s="9">
        <f t="shared" si="46"/>
        <v>0</v>
      </c>
    </row>
    <row r="207" spans="1:32" x14ac:dyDescent="0.25">
      <c r="A207" s="22" t="s">
        <v>236</v>
      </c>
      <c r="B207" s="24" t="s">
        <v>497</v>
      </c>
      <c r="D207" s="10">
        <v>0.95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26">
        <v>0</v>
      </c>
      <c r="R207" s="4">
        <f t="shared" si="47"/>
        <v>0</v>
      </c>
      <c r="S207" s="5">
        <f t="shared" si="39"/>
        <v>1.6448536269514715</v>
      </c>
      <c r="T207" s="6">
        <f t="shared" si="40"/>
        <v>0</v>
      </c>
      <c r="U207" s="3">
        <v>1</v>
      </c>
      <c r="V207" s="7">
        <f t="shared" si="48"/>
        <v>0.23076923076923078</v>
      </c>
      <c r="W207" s="18">
        <f t="shared" si="41"/>
        <v>0</v>
      </c>
      <c r="X207" s="19">
        <f t="shared" si="42"/>
        <v>0</v>
      </c>
      <c r="Y207" s="8">
        <f t="shared" si="43"/>
        <v>0</v>
      </c>
      <c r="Z207" s="8">
        <f t="shared" si="44"/>
        <v>0</v>
      </c>
      <c r="AA207" s="9">
        <f t="shared" si="45"/>
        <v>0</v>
      </c>
      <c r="AC207" s="3" t="s">
        <v>554</v>
      </c>
      <c r="AD207" s="3" t="s">
        <v>554</v>
      </c>
      <c r="AE207" s="3" t="s">
        <v>591</v>
      </c>
      <c r="AF207" s="9">
        <f t="shared" si="46"/>
        <v>0</v>
      </c>
    </row>
    <row r="208" spans="1:32" x14ac:dyDescent="0.25">
      <c r="A208" s="21" t="s">
        <v>237</v>
      </c>
      <c r="B208" s="23" t="s">
        <v>498</v>
      </c>
      <c r="D208" s="10">
        <v>0.95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26">
        <v>0</v>
      </c>
      <c r="R208" s="4">
        <f t="shared" si="47"/>
        <v>0</v>
      </c>
      <c r="S208" s="5">
        <f t="shared" si="39"/>
        <v>1.6448536269514715</v>
      </c>
      <c r="T208" s="6">
        <f t="shared" si="40"/>
        <v>0</v>
      </c>
      <c r="U208" s="3">
        <v>1</v>
      </c>
      <c r="V208" s="7">
        <f t="shared" si="48"/>
        <v>0.23076923076923078</v>
      </c>
      <c r="W208" s="18">
        <f t="shared" si="41"/>
        <v>0</v>
      </c>
      <c r="X208" s="19">
        <f t="shared" si="42"/>
        <v>0</v>
      </c>
      <c r="Y208" s="8">
        <f t="shared" si="43"/>
        <v>0</v>
      </c>
      <c r="Z208" s="8">
        <f t="shared" si="44"/>
        <v>0</v>
      </c>
      <c r="AA208" s="9">
        <f t="shared" si="45"/>
        <v>0</v>
      </c>
      <c r="AC208" s="3" t="s">
        <v>554</v>
      </c>
      <c r="AD208" s="3" t="s">
        <v>554</v>
      </c>
      <c r="AE208" s="3" t="s">
        <v>591</v>
      </c>
      <c r="AF208" s="9">
        <f t="shared" si="46"/>
        <v>0</v>
      </c>
    </row>
    <row r="209" spans="1:32" x14ac:dyDescent="0.25">
      <c r="A209" s="22" t="s">
        <v>238</v>
      </c>
      <c r="B209" s="24" t="s">
        <v>499</v>
      </c>
      <c r="D209" s="10">
        <v>0.95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26">
        <v>0</v>
      </c>
      <c r="R209" s="4">
        <f t="shared" si="47"/>
        <v>0</v>
      </c>
      <c r="S209" s="5">
        <f t="shared" si="39"/>
        <v>1.6448536269514715</v>
      </c>
      <c r="T209" s="6">
        <f t="shared" si="40"/>
        <v>0</v>
      </c>
      <c r="U209" s="3">
        <v>1</v>
      </c>
      <c r="V209" s="7">
        <f t="shared" si="48"/>
        <v>0.23076923076923078</v>
      </c>
      <c r="W209" s="18">
        <f t="shared" si="41"/>
        <v>0</v>
      </c>
      <c r="X209" s="19">
        <f t="shared" si="42"/>
        <v>0</v>
      </c>
      <c r="Y209" s="8">
        <f t="shared" si="43"/>
        <v>0</v>
      </c>
      <c r="Z209" s="8">
        <f t="shared" si="44"/>
        <v>0</v>
      </c>
      <c r="AA209" s="9">
        <f t="shared" si="45"/>
        <v>0</v>
      </c>
      <c r="AC209" s="3" t="s">
        <v>554</v>
      </c>
      <c r="AD209" s="3" t="s">
        <v>554</v>
      </c>
      <c r="AE209" s="3" t="s">
        <v>591</v>
      </c>
      <c r="AF209" s="9">
        <f t="shared" si="46"/>
        <v>0</v>
      </c>
    </row>
    <row r="210" spans="1:32" x14ac:dyDescent="0.25">
      <c r="A210" s="21" t="s">
        <v>239</v>
      </c>
      <c r="B210" s="23" t="s">
        <v>500</v>
      </c>
      <c r="D210" s="10">
        <v>0.95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26">
        <v>0</v>
      </c>
      <c r="R210" s="4">
        <f t="shared" si="47"/>
        <v>0</v>
      </c>
      <c r="S210" s="5">
        <f t="shared" si="39"/>
        <v>1.6448536269514715</v>
      </c>
      <c r="T210" s="6">
        <f t="shared" si="40"/>
        <v>0</v>
      </c>
      <c r="U210" s="3">
        <v>1</v>
      </c>
      <c r="V210" s="7">
        <f t="shared" si="48"/>
        <v>0.23076923076923078</v>
      </c>
      <c r="W210" s="18">
        <f t="shared" si="41"/>
        <v>0</v>
      </c>
      <c r="X210" s="19">
        <f t="shared" si="42"/>
        <v>0</v>
      </c>
      <c r="Y210" s="8">
        <f t="shared" si="43"/>
        <v>0</v>
      </c>
      <c r="Z210" s="8">
        <f t="shared" si="44"/>
        <v>0</v>
      </c>
      <c r="AA210" s="9">
        <f t="shared" si="45"/>
        <v>0</v>
      </c>
      <c r="AC210" s="3" t="s">
        <v>554</v>
      </c>
      <c r="AD210" s="3" t="s">
        <v>554</v>
      </c>
      <c r="AE210" s="3" t="s">
        <v>591</v>
      </c>
      <c r="AF210" s="9">
        <f t="shared" si="46"/>
        <v>0</v>
      </c>
    </row>
    <row r="211" spans="1:32" x14ac:dyDescent="0.25">
      <c r="A211" s="22" t="s">
        <v>240</v>
      </c>
      <c r="B211" s="24" t="s">
        <v>501</v>
      </c>
      <c r="D211" s="10">
        <v>0.95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26">
        <v>0</v>
      </c>
      <c r="R211" s="4">
        <f t="shared" si="47"/>
        <v>0</v>
      </c>
      <c r="S211" s="5">
        <f t="shared" si="39"/>
        <v>1.6448536269514715</v>
      </c>
      <c r="T211" s="6">
        <f t="shared" si="40"/>
        <v>0</v>
      </c>
      <c r="U211" s="3">
        <v>3</v>
      </c>
      <c r="V211" s="7">
        <f t="shared" si="48"/>
        <v>0.69230769230769229</v>
      </c>
      <c r="W211" s="18">
        <f t="shared" si="41"/>
        <v>0</v>
      </c>
      <c r="X211" s="19">
        <f t="shared" si="42"/>
        <v>0</v>
      </c>
      <c r="Y211" s="8">
        <f t="shared" si="43"/>
        <v>0</v>
      </c>
      <c r="Z211" s="8">
        <f t="shared" si="44"/>
        <v>0</v>
      </c>
      <c r="AA211" s="9">
        <f t="shared" si="45"/>
        <v>0</v>
      </c>
      <c r="AC211" s="3" t="s">
        <v>554</v>
      </c>
      <c r="AD211" s="3" t="s">
        <v>554</v>
      </c>
      <c r="AE211" s="3" t="s">
        <v>591</v>
      </c>
      <c r="AF211" s="9">
        <f t="shared" si="46"/>
        <v>0</v>
      </c>
    </row>
    <row r="212" spans="1:32" x14ac:dyDescent="0.25">
      <c r="A212" s="21" t="s">
        <v>241</v>
      </c>
      <c r="B212" s="23" t="s">
        <v>502</v>
      </c>
      <c r="D212" s="10">
        <v>0.95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26">
        <v>0</v>
      </c>
      <c r="R212" s="4">
        <f t="shared" si="47"/>
        <v>0</v>
      </c>
      <c r="S212" s="5">
        <f t="shared" si="39"/>
        <v>1.6448536269514715</v>
      </c>
      <c r="T212" s="6">
        <f t="shared" si="40"/>
        <v>0</v>
      </c>
      <c r="U212" s="3">
        <v>3</v>
      </c>
      <c r="V212" s="7">
        <f t="shared" si="48"/>
        <v>0.69230769230769229</v>
      </c>
      <c r="W212" s="18">
        <f t="shared" si="41"/>
        <v>0</v>
      </c>
      <c r="X212" s="19">
        <f t="shared" si="42"/>
        <v>0</v>
      </c>
      <c r="Y212" s="8">
        <f t="shared" si="43"/>
        <v>0</v>
      </c>
      <c r="Z212" s="8">
        <f t="shared" si="44"/>
        <v>0</v>
      </c>
      <c r="AA212" s="9">
        <f t="shared" si="45"/>
        <v>0</v>
      </c>
      <c r="AC212" s="3" t="s">
        <v>554</v>
      </c>
      <c r="AD212" s="3" t="s">
        <v>554</v>
      </c>
      <c r="AE212" s="3" t="s">
        <v>591</v>
      </c>
      <c r="AF212" s="9">
        <f t="shared" si="46"/>
        <v>0</v>
      </c>
    </row>
    <row r="213" spans="1:32" x14ac:dyDescent="0.25">
      <c r="A213" s="22" t="s">
        <v>242</v>
      </c>
      <c r="B213" s="24" t="s">
        <v>503</v>
      </c>
      <c r="D213" s="10">
        <v>0.95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26">
        <v>0</v>
      </c>
      <c r="R213" s="4">
        <f t="shared" si="47"/>
        <v>0</v>
      </c>
      <c r="S213" s="5">
        <f t="shared" si="39"/>
        <v>1.6448536269514715</v>
      </c>
      <c r="T213" s="6">
        <f t="shared" si="40"/>
        <v>0</v>
      </c>
      <c r="U213" s="3">
        <v>3</v>
      </c>
      <c r="V213" s="7">
        <f t="shared" si="48"/>
        <v>0.69230769230769229</v>
      </c>
      <c r="W213" s="18">
        <f t="shared" si="41"/>
        <v>0</v>
      </c>
      <c r="X213" s="19">
        <f t="shared" si="42"/>
        <v>0</v>
      </c>
      <c r="Y213" s="8">
        <f t="shared" si="43"/>
        <v>0</v>
      </c>
      <c r="Z213" s="8">
        <f t="shared" si="44"/>
        <v>0</v>
      </c>
      <c r="AA213" s="9">
        <f t="shared" si="45"/>
        <v>0</v>
      </c>
      <c r="AC213" s="3" t="s">
        <v>554</v>
      </c>
      <c r="AD213" s="3" t="s">
        <v>554</v>
      </c>
      <c r="AE213" s="3" t="s">
        <v>591</v>
      </c>
      <c r="AF213" s="9">
        <f t="shared" si="46"/>
        <v>0</v>
      </c>
    </row>
    <row r="214" spans="1:32" x14ac:dyDescent="0.25">
      <c r="A214" s="21" t="s">
        <v>243</v>
      </c>
      <c r="B214" s="23" t="s">
        <v>504</v>
      </c>
      <c r="D214" s="10">
        <v>0.95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26">
        <v>0</v>
      </c>
      <c r="R214" s="4">
        <f t="shared" si="47"/>
        <v>0</v>
      </c>
      <c r="S214" s="5">
        <f t="shared" si="39"/>
        <v>1.6448536269514715</v>
      </c>
      <c r="T214" s="6">
        <f t="shared" si="40"/>
        <v>0</v>
      </c>
      <c r="U214" s="3">
        <v>3</v>
      </c>
      <c r="V214" s="7">
        <f t="shared" si="48"/>
        <v>0.69230769230769229</v>
      </c>
      <c r="W214" s="18">
        <f t="shared" si="41"/>
        <v>0</v>
      </c>
      <c r="X214" s="19">
        <f t="shared" si="42"/>
        <v>0</v>
      </c>
      <c r="Y214" s="8">
        <f t="shared" si="43"/>
        <v>0</v>
      </c>
      <c r="Z214" s="8">
        <f t="shared" si="44"/>
        <v>0</v>
      </c>
      <c r="AA214" s="9">
        <f t="shared" si="45"/>
        <v>0</v>
      </c>
      <c r="AC214" s="3" t="s">
        <v>554</v>
      </c>
      <c r="AD214" s="3" t="s">
        <v>554</v>
      </c>
      <c r="AE214" s="3" t="s">
        <v>591</v>
      </c>
      <c r="AF214" s="9">
        <f t="shared" si="46"/>
        <v>0</v>
      </c>
    </row>
    <row r="215" spans="1:32" x14ac:dyDescent="0.25">
      <c r="A215" s="22" t="s">
        <v>244</v>
      </c>
      <c r="B215" s="24" t="s">
        <v>505</v>
      </c>
      <c r="D215" s="10">
        <v>0.95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26">
        <v>0</v>
      </c>
      <c r="R215" s="4">
        <f t="shared" si="47"/>
        <v>0</v>
      </c>
      <c r="S215" s="5">
        <f t="shared" si="39"/>
        <v>1.6448536269514715</v>
      </c>
      <c r="T215" s="6">
        <f t="shared" si="40"/>
        <v>0</v>
      </c>
      <c r="U215" s="3">
        <v>3</v>
      </c>
      <c r="V215" s="7">
        <f t="shared" si="48"/>
        <v>0.69230769230769229</v>
      </c>
      <c r="W215" s="18">
        <f t="shared" si="41"/>
        <v>0</v>
      </c>
      <c r="X215" s="19">
        <f t="shared" si="42"/>
        <v>0</v>
      </c>
      <c r="Y215" s="8">
        <f t="shared" si="43"/>
        <v>0</v>
      </c>
      <c r="Z215" s="8">
        <f t="shared" si="44"/>
        <v>0</v>
      </c>
      <c r="AA215" s="9">
        <f t="shared" si="45"/>
        <v>0</v>
      </c>
      <c r="AC215" s="3" t="s">
        <v>554</v>
      </c>
      <c r="AD215" s="3" t="s">
        <v>554</v>
      </c>
      <c r="AE215" s="3" t="s">
        <v>591</v>
      </c>
      <c r="AF215" s="9">
        <f t="shared" si="46"/>
        <v>0</v>
      </c>
    </row>
    <row r="216" spans="1:32" x14ac:dyDescent="0.25">
      <c r="A216" s="21" t="s">
        <v>245</v>
      </c>
      <c r="B216" s="23" t="s">
        <v>506</v>
      </c>
      <c r="D216" s="10">
        <v>0.95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26">
        <v>0</v>
      </c>
      <c r="R216" s="4">
        <f t="shared" si="47"/>
        <v>0</v>
      </c>
      <c r="S216" s="5">
        <f t="shared" si="39"/>
        <v>1.6448536269514715</v>
      </c>
      <c r="T216" s="6">
        <f t="shared" si="40"/>
        <v>0</v>
      </c>
      <c r="U216" s="3">
        <v>3</v>
      </c>
      <c r="V216" s="7">
        <f t="shared" si="48"/>
        <v>0.69230769230769229</v>
      </c>
      <c r="W216" s="18">
        <f t="shared" si="41"/>
        <v>0</v>
      </c>
      <c r="X216" s="19">
        <f t="shared" si="42"/>
        <v>0</v>
      </c>
      <c r="Y216" s="8">
        <f t="shared" si="43"/>
        <v>0</v>
      </c>
      <c r="Z216" s="8">
        <f t="shared" si="44"/>
        <v>0</v>
      </c>
      <c r="AA216" s="9">
        <f t="shared" si="45"/>
        <v>0</v>
      </c>
      <c r="AC216" s="3" t="s">
        <v>554</v>
      </c>
      <c r="AD216" s="3" t="s">
        <v>554</v>
      </c>
      <c r="AE216" s="3" t="s">
        <v>591</v>
      </c>
      <c r="AF216" s="9">
        <f t="shared" si="46"/>
        <v>0</v>
      </c>
    </row>
    <row r="217" spans="1:32" x14ac:dyDescent="0.25">
      <c r="A217" s="22" t="s">
        <v>246</v>
      </c>
      <c r="B217" s="24" t="s">
        <v>507</v>
      </c>
      <c r="D217" s="10">
        <v>0.95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26">
        <v>0</v>
      </c>
      <c r="R217" s="4">
        <f t="shared" si="47"/>
        <v>0</v>
      </c>
      <c r="S217" s="5">
        <f t="shared" si="39"/>
        <v>1.6448536269514715</v>
      </c>
      <c r="T217" s="6">
        <f t="shared" si="40"/>
        <v>0</v>
      </c>
      <c r="U217" s="3">
        <v>1</v>
      </c>
      <c r="V217" s="7">
        <f t="shared" si="48"/>
        <v>0.23076923076923078</v>
      </c>
      <c r="W217" s="18">
        <f t="shared" si="41"/>
        <v>0</v>
      </c>
      <c r="X217" s="19">
        <f t="shared" si="42"/>
        <v>0</v>
      </c>
      <c r="Y217" s="8">
        <f t="shared" si="43"/>
        <v>0</v>
      </c>
      <c r="Z217" s="8">
        <f t="shared" si="44"/>
        <v>0</v>
      </c>
      <c r="AA217" s="9">
        <f t="shared" si="45"/>
        <v>0</v>
      </c>
      <c r="AC217" s="3" t="s">
        <v>554</v>
      </c>
      <c r="AD217" s="3" t="s">
        <v>554</v>
      </c>
      <c r="AE217" s="3" t="s">
        <v>591</v>
      </c>
      <c r="AF217" s="9">
        <f t="shared" si="46"/>
        <v>0</v>
      </c>
    </row>
    <row r="218" spans="1:32" x14ac:dyDescent="0.25">
      <c r="A218" s="21" t="s">
        <v>247</v>
      </c>
      <c r="B218" s="23" t="s">
        <v>508</v>
      </c>
      <c r="D218" s="10">
        <v>0.95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26">
        <v>0</v>
      </c>
      <c r="R218" s="4">
        <f t="shared" si="47"/>
        <v>0</v>
      </c>
      <c r="S218" s="5">
        <f t="shared" si="39"/>
        <v>1.6448536269514715</v>
      </c>
      <c r="T218" s="6">
        <f t="shared" si="40"/>
        <v>0</v>
      </c>
      <c r="U218" s="3">
        <v>1</v>
      </c>
      <c r="V218" s="7">
        <f t="shared" si="48"/>
        <v>0.23076923076923078</v>
      </c>
      <c r="W218" s="18">
        <f t="shared" si="41"/>
        <v>0</v>
      </c>
      <c r="X218" s="19">
        <f t="shared" si="42"/>
        <v>0</v>
      </c>
      <c r="Y218" s="8">
        <f t="shared" si="43"/>
        <v>0</v>
      </c>
      <c r="Z218" s="8">
        <f t="shared" si="44"/>
        <v>0</v>
      </c>
      <c r="AA218" s="9">
        <f t="shared" si="45"/>
        <v>0</v>
      </c>
      <c r="AC218" s="3" t="s">
        <v>554</v>
      </c>
      <c r="AD218" s="3" t="s">
        <v>554</v>
      </c>
      <c r="AE218" s="3" t="s">
        <v>591</v>
      </c>
      <c r="AF218" s="9">
        <f t="shared" si="46"/>
        <v>0</v>
      </c>
    </row>
    <row r="219" spans="1:32" x14ac:dyDescent="0.25">
      <c r="A219" s="22" t="s">
        <v>248</v>
      </c>
      <c r="B219" s="24" t="s">
        <v>509</v>
      </c>
      <c r="D219" s="10">
        <v>0.95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26">
        <v>0</v>
      </c>
      <c r="R219" s="4">
        <f t="shared" si="47"/>
        <v>0</v>
      </c>
      <c r="S219" s="5">
        <f t="shared" si="39"/>
        <v>1.6448536269514715</v>
      </c>
      <c r="T219" s="6">
        <f t="shared" si="40"/>
        <v>0</v>
      </c>
      <c r="U219" s="3">
        <v>1</v>
      </c>
      <c r="V219" s="7">
        <f t="shared" si="48"/>
        <v>0.23076923076923078</v>
      </c>
      <c r="W219" s="18">
        <f t="shared" si="41"/>
        <v>0</v>
      </c>
      <c r="X219" s="19">
        <f t="shared" si="42"/>
        <v>0</v>
      </c>
      <c r="Y219" s="8">
        <f t="shared" si="43"/>
        <v>0</v>
      </c>
      <c r="Z219" s="8">
        <f t="shared" si="44"/>
        <v>0</v>
      </c>
      <c r="AA219" s="9">
        <f t="shared" si="45"/>
        <v>0</v>
      </c>
      <c r="AC219" s="3" t="s">
        <v>554</v>
      </c>
      <c r="AD219" s="3" t="s">
        <v>554</v>
      </c>
      <c r="AE219" s="3" t="s">
        <v>591</v>
      </c>
      <c r="AF219" s="9">
        <f t="shared" si="46"/>
        <v>0</v>
      </c>
    </row>
    <row r="220" spans="1:32" x14ac:dyDescent="0.25">
      <c r="A220" s="21" t="s">
        <v>249</v>
      </c>
      <c r="B220" s="23" t="s">
        <v>510</v>
      </c>
      <c r="D220" s="10">
        <v>0.95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26">
        <v>0</v>
      </c>
      <c r="R220" s="4">
        <f t="shared" si="47"/>
        <v>0</v>
      </c>
      <c r="S220" s="5">
        <f t="shared" ref="S220:S262" si="49">NORMSINV(D220)</f>
        <v>1.6448536269514715</v>
      </c>
      <c r="T220" s="6">
        <f t="shared" ref="T220:T262" si="50">STDEV(E220:P220)</f>
        <v>0</v>
      </c>
      <c r="U220" s="3">
        <v>1</v>
      </c>
      <c r="V220" s="7">
        <f t="shared" si="48"/>
        <v>0.23076923076923078</v>
      </c>
      <c r="W220" s="18">
        <f t="shared" ref="W220:W262" si="51">CEILING(S220*T220*(SQRT(V220)),1)</f>
        <v>0</v>
      </c>
      <c r="X220" s="19">
        <f t="shared" ref="X220:X262" si="52">S220*SQRT(T220*V220*R220)</f>
        <v>0</v>
      </c>
      <c r="Y220" s="8">
        <f t="shared" ref="Y220:Y262" si="53">ROUND(V220*R220+X220,0)</f>
        <v>0</v>
      </c>
      <c r="Z220" s="8">
        <f t="shared" ref="Z220:Z262" si="54">ROUND(Y220+W220,0)</f>
        <v>0</v>
      </c>
      <c r="AA220" s="9">
        <f t="shared" ref="AA220:AA262" si="55">C220*Z220</f>
        <v>0</v>
      </c>
      <c r="AC220" s="3" t="s">
        <v>554</v>
      </c>
      <c r="AD220" s="3" t="s">
        <v>554</v>
      </c>
      <c r="AE220" s="3" t="s">
        <v>591</v>
      </c>
      <c r="AF220" s="9">
        <f t="shared" ref="AF220:AF262" si="56">AD220*C220</f>
        <v>0</v>
      </c>
    </row>
    <row r="221" spans="1:32" x14ac:dyDescent="0.25">
      <c r="A221" s="22" t="s">
        <v>250</v>
      </c>
      <c r="B221" s="24" t="s">
        <v>511</v>
      </c>
      <c r="D221" s="10">
        <v>0.95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26">
        <v>0</v>
      </c>
      <c r="R221" s="4">
        <f t="shared" si="47"/>
        <v>0</v>
      </c>
      <c r="S221" s="5">
        <f t="shared" si="49"/>
        <v>1.6448536269514715</v>
      </c>
      <c r="T221" s="6">
        <f t="shared" si="50"/>
        <v>0</v>
      </c>
      <c r="U221" s="3">
        <v>1</v>
      </c>
      <c r="V221" s="7">
        <f t="shared" si="48"/>
        <v>0.23076923076923078</v>
      </c>
      <c r="W221" s="18">
        <f t="shared" si="51"/>
        <v>0</v>
      </c>
      <c r="X221" s="19">
        <f t="shared" si="52"/>
        <v>0</v>
      </c>
      <c r="Y221" s="8">
        <f t="shared" si="53"/>
        <v>0</v>
      </c>
      <c r="Z221" s="8">
        <f t="shared" si="54"/>
        <v>0</v>
      </c>
      <c r="AA221" s="9">
        <f t="shared" si="55"/>
        <v>0</v>
      </c>
      <c r="AC221" s="3" t="s">
        <v>554</v>
      </c>
      <c r="AD221" s="3" t="s">
        <v>554</v>
      </c>
      <c r="AE221" s="3" t="s">
        <v>591</v>
      </c>
      <c r="AF221" s="9">
        <f t="shared" si="56"/>
        <v>0</v>
      </c>
    </row>
    <row r="222" spans="1:32" x14ac:dyDescent="0.25">
      <c r="A222" s="21" t="s">
        <v>251</v>
      </c>
      <c r="B222" s="23" t="s">
        <v>512</v>
      </c>
      <c r="D222" s="10">
        <v>0.95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26">
        <v>1</v>
      </c>
      <c r="R222" s="4">
        <f t="shared" si="47"/>
        <v>8.3333333333333329E-2</v>
      </c>
      <c r="S222" s="5">
        <f t="shared" si="49"/>
        <v>1.6448536269514715</v>
      </c>
      <c r="T222" s="6">
        <f t="shared" si="50"/>
        <v>0.28867513459481287</v>
      </c>
      <c r="U222" s="3">
        <v>1</v>
      </c>
      <c r="V222" s="7">
        <f t="shared" si="48"/>
        <v>0.23076923076923078</v>
      </c>
      <c r="W222" s="18">
        <f t="shared" si="51"/>
        <v>1</v>
      </c>
      <c r="X222" s="19">
        <f t="shared" si="52"/>
        <v>0.12255478529739477</v>
      </c>
      <c r="Y222" s="8">
        <f t="shared" si="53"/>
        <v>0</v>
      </c>
      <c r="Z222" s="8">
        <f t="shared" si="54"/>
        <v>1</v>
      </c>
      <c r="AA222" s="9">
        <f t="shared" si="55"/>
        <v>0</v>
      </c>
      <c r="AC222" s="3" t="s">
        <v>554</v>
      </c>
      <c r="AD222" s="3" t="s">
        <v>554</v>
      </c>
      <c r="AE222" s="3" t="s">
        <v>591</v>
      </c>
      <c r="AF222" s="9">
        <f t="shared" si="56"/>
        <v>0</v>
      </c>
    </row>
    <row r="223" spans="1:32" x14ac:dyDescent="0.25">
      <c r="A223" s="22" t="s">
        <v>252</v>
      </c>
      <c r="B223" s="24" t="s">
        <v>513</v>
      </c>
      <c r="D223" s="10">
        <v>0.95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26">
        <v>0</v>
      </c>
      <c r="R223" s="4">
        <f t="shared" si="47"/>
        <v>0</v>
      </c>
      <c r="S223" s="5">
        <f t="shared" si="49"/>
        <v>1.6448536269514715</v>
      </c>
      <c r="T223" s="6">
        <f t="shared" si="50"/>
        <v>0</v>
      </c>
      <c r="U223" s="3">
        <v>1</v>
      </c>
      <c r="V223" s="7">
        <f t="shared" si="48"/>
        <v>0.23076923076923078</v>
      </c>
      <c r="W223" s="18">
        <f t="shared" si="51"/>
        <v>0</v>
      </c>
      <c r="X223" s="19">
        <f t="shared" si="52"/>
        <v>0</v>
      </c>
      <c r="Y223" s="8">
        <f t="shared" si="53"/>
        <v>0</v>
      </c>
      <c r="Z223" s="8">
        <f t="shared" si="54"/>
        <v>0</v>
      </c>
      <c r="AA223" s="9">
        <f t="shared" si="55"/>
        <v>0</v>
      </c>
      <c r="AC223" s="3" t="s">
        <v>554</v>
      </c>
      <c r="AD223" s="3" t="s">
        <v>554</v>
      </c>
      <c r="AE223" s="3" t="s">
        <v>591</v>
      </c>
      <c r="AF223" s="9">
        <f t="shared" si="56"/>
        <v>0</v>
      </c>
    </row>
    <row r="224" spans="1:32" x14ac:dyDescent="0.25">
      <c r="A224" s="21" t="s">
        <v>253</v>
      </c>
      <c r="B224" s="23" t="s">
        <v>514</v>
      </c>
      <c r="D224" s="10">
        <v>0.95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26">
        <v>0</v>
      </c>
      <c r="R224" s="4">
        <f t="shared" si="47"/>
        <v>0</v>
      </c>
      <c r="S224" s="5">
        <f t="shared" si="49"/>
        <v>1.6448536269514715</v>
      </c>
      <c r="T224" s="6">
        <f t="shared" si="50"/>
        <v>0</v>
      </c>
      <c r="U224" s="3">
        <v>1</v>
      </c>
      <c r="V224" s="7">
        <f t="shared" si="48"/>
        <v>0.23076923076923078</v>
      </c>
      <c r="W224" s="18">
        <f t="shared" si="51"/>
        <v>0</v>
      </c>
      <c r="X224" s="19">
        <f t="shared" si="52"/>
        <v>0</v>
      </c>
      <c r="Y224" s="8">
        <f t="shared" si="53"/>
        <v>0</v>
      </c>
      <c r="Z224" s="8">
        <f t="shared" si="54"/>
        <v>0</v>
      </c>
      <c r="AA224" s="9">
        <f t="shared" si="55"/>
        <v>0</v>
      </c>
      <c r="AC224" s="3" t="s">
        <v>554</v>
      </c>
      <c r="AD224" s="3" t="s">
        <v>554</v>
      </c>
      <c r="AE224" s="3" t="s">
        <v>591</v>
      </c>
      <c r="AF224" s="9">
        <f t="shared" si="56"/>
        <v>0</v>
      </c>
    </row>
    <row r="225" spans="1:32" x14ac:dyDescent="0.25">
      <c r="A225" s="22" t="s">
        <v>254</v>
      </c>
      <c r="B225" s="24" t="s">
        <v>515</v>
      </c>
      <c r="D225" s="10">
        <v>0.95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26">
        <v>0</v>
      </c>
      <c r="R225" s="4">
        <f t="shared" si="47"/>
        <v>0</v>
      </c>
      <c r="S225" s="5">
        <f t="shared" si="49"/>
        <v>1.6448536269514715</v>
      </c>
      <c r="T225" s="6">
        <f t="shared" si="50"/>
        <v>0</v>
      </c>
      <c r="U225" s="3">
        <v>1</v>
      </c>
      <c r="V225" s="7">
        <f t="shared" si="48"/>
        <v>0.23076923076923078</v>
      </c>
      <c r="W225" s="18">
        <f t="shared" si="51"/>
        <v>0</v>
      </c>
      <c r="X225" s="19">
        <f t="shared" si="52"/>
        <v>0</v>
      </c>
      <c r="Y225" s="8">
        <f t="shared" si="53"/>
        <v>0</v>
      </c>
      <c r="Z225" s="8">
        <f t="shared" si="54"/>
        <v>0</v>
      </c>
      <c r="AA225" s="9">
        <f t="shared" si="55"/>
        <v>0</v>
      </c>
      <c r="AC225" s="3" t="s">
        <v>554</v>
      </c>
      <c r="AD225" s="3" t="s">
        <v>554</v>
      </c>
      <c r="AE225" s="3" t="s">
        <v>591</v>
      </c>
      <c r="AF225" s="9">
        <f t="shared" si="56"/>
        <v>0</v>
      </c>
    </row>
    <row r="226" spans="1:32" x14ac:dyDescent="0.25">
      <c r="A226" s="21" t="s">
        <v>255</v>
      </c>
      <c r="B226" s="23" t="s">
        <v>516</v>
      </c>
      <c r="D226" s="10">
        <v>0.95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26">
        <v>0</v>
      </c>
      <c r="R226" s="4">
        <f t="shared" si="47"/>
        <v>0</v>
      </c>
      <c r="S226" s="5">
        <f t="shared" si="49"/>
        <v>1.6448536269514715</v>
      </c>
      <c r="T226" s="6">
        <f t="shared" si="50"/>
        <v>0</v>
      </c>
      <c r="U226" s="3">
        <v>1</v>
      </c>
      <c r="V226" s="7">
        <f t="shared" si="48"/>
        <v>0.23076923076923078</v>
      </c>
      <c r="W226" s="18">
        <f t="shared" si="51"/>
        <v>0</v>
      </c>
      <c r="X226" s="19">
        <f t="shared" si="52"/>
        <v>0</v>
      </c>
      <c r="Y226" s="8">
        <f t="shared" si="53"/>
        <v>0</v>
      </c>
      <c r="Z226" s="8">
        <f t="shared" si="54"/>
        <v>0</v>
      </c>
      <c r="AA226" s="9">
        <f t="shared" si="55"/>
        <v>0</v>
      </c>
      <c r="AC226" s="3" t="s">
        <v>554</v>
      </c>
      <c r="AD226" s="3" t="s">
        <v>554</v>
      </c>
      <c r="AE226" s="3" t="s">
        <v>591</v>
      </c>
      <c r="AF226" s="9">
        <f t="shared" si="56"/>
        <v>0</v>
      </c>
    </row>
    <row r="227" spans="1:32" x14ac:dyDescent="0.25">
      <c r="A227" s="22" t="s">
        <v>256</v>
      </c>
      <c r="B227" s="24" t="s">
        <v>517</v>
      </c>
      <c r="D227" s="10">
        <v>0.95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26">
        <v>0</v>
      </c>
      <c r="R227" s="4">
        <f t="shared" si="47"/>
        <v>0</v>
      </c>
      <c r="S227" s="5">
        <f t="shared" si="49"/>
        <v>1.6448536269514715</v>
      </c>
      <c r="T227" s="6">
        <f t="shared" si="50"/>
        <v>0</v>
      </c>
      <c r="U227" s="3">
        <v>1</v>
      </c>
      <c r="V227" s="7">
        <f t="shared" si="48"/>
        <v>0.23076923076923078</v>
      </c>
      <c r="W227" s="18">
        <f t="shared" si="51"/>
        <v>0</v>
      </c>
      <c r="X227" s="19">
        <f t="shared" si="52"/>
        <v>0</v>
      </c>
      <c r="Y227" s="8">
        <f t="shared" si="53"/>
        <v>0</v>
      </c>
      <c r="Z227" s="8">
        <f t="shared" si="54"/>
        <v>0</v>
      </c>
      <c r="AA227" s="9">
        <f t="shared" si="55"/>
        <v>0</v>
      </c>
      <c r="AC227" s="3" t="s">
        <v>554</v>
      </c>
      <c r="AD227" s="3" t="s">
        <v>554</v>
      </c>
      <c r="AE227" s="3" t="s">
        <v>591</v>
      </c>
      <c r="AF227" s="9">
        <f t="shared" si="56"/>
        <v>0</v>
      </c>
    </row>
    <row r="228" spans="1:32" x14ac:dyDescent="0.25">
      <c r="A228" s="21" t="s">
        <v>257</v>
      </c>
      <c r="B228" s="23" t="s">
        <v>518</v>
      </c>
      <c r="D228" s="10">
        <v>0.95</v>
      </c>
      <c r="E228" s="1">
        <v>0</v>
      </c>
      <c r="F228" s="1">
        <v>1</v>
      </c>
      <c r="G228" s="1">
        <v>2</v>
      </c>
      <c r="H228" s="1">
        <v>0</v>
      </c>
      <c r="I228" s="1">
        <v>0</v>
      </c>
      <c r="J228" s="1">
        <v>0</v>
      </c>
      <c r="K228" s="1">
        <v>1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26">
        <v>4</v>
      </c>
      <c r="R228" s="4">
        <f t="shared" si="47"/>
        <v>0.33333333333333331</v>
      </c>
      <c r="S228" s="5">
        <f t="shared" si="49"/>
        <v>1.6448536269514715</v>
      </c>
      <c r="T228" s="6">
        <f t="shared" si="50"/>
        <v>0.6513389472789296</v>
      </c>
      <c r="U228" s="3">
        <v>1</v>
      </c>
      <c r="V228" s="7">
        <f t="shared" si="48"/>
        <v>0.23076923076923078</v>
      </c>
      <c r="W228" s="18">
        <f t="shared" si="51"/>
        <v>1</v>
      </c>
      <c r="X228" s="19">
        <f t="shared" si="52"/>
        <v>0.36817907695617402</v>
      </c>
      <c r="Y228" s="8">
        <f t="shared" si="53"/>
        <v>0</v>
      </c>
      <c r="Z228" s="8">
        <f t="shared" si="54"/>
        <v>1</v>
      </c>
      <c r="AA228" s="9">
        <f t="shared" si="55"/>
        <v>0</v>
      </c>
      <c r="AC228" s="3" t="s">
        <v>554</v>
      </c>
      <c r="AD228" s="3" t="s">
        <v>554</v>
      </c>
      <c r="AE228" s="3" t="s">
        <v>591</v>
      </c>
      <c r="AF228" s="9">
        <f t="shared" si="56"/>
        <v>0</v>
      </c>
    </row>
    <row r="229" spans="1:32" x14ac:dyDescent="0.25">
      <c r="A229" s="22" t="s">
        <v>258</v>
      </c>
      <c r="B229" s="24" t="s">
        <v>519</v>
      </c>
      <c r="D229" s="10">
        <v>0.95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26">
        <v>0</v>
      </c>
      <c r="R229" s="4">
        <f t="shared" si="47"/>
        <v>0</v>
      </c>
      <c r="S229" s="5">
        <f t="shared" si="49"/>
        <v>1.6448536269514715</v>
      </c>
      <c r="T229" s="6">
        <f t="shared" si="50"/>
        <v>0</v>
      </c>
      <c r="U229" s="3">
        <v>1</v>
      </c>
      <c r="V229" s="7">
        <f t="shared" si="48"/>
        <v>0.23076923076923078</v>
      </c>
      <c r="W229" s="18">
        <f t="shared" si="51"/>
        <v>0</v>
      </c>
      <c r="X229" s="19">
        <f t="shared" si="52"/>
        <v>0</v>
      </c>
      <c r="Y229" s="8">
        <f t="shared" si="53"/>
        <v>0</v>
      </c>
      <c r="Z229" s="8">
        <f t="shared" si="54"/>
        <v>0</v>
      </c>
      <c r="AA229" s="9">
        <f t="shared" si="55"/>
        <v>0</v>
      </c>
      <c r="AC229" s="3" t="s">
        <v>554</v>
      </c>
      <c r="AD229" s="3" t="s">
        <v>554</v>
      </c>
      <c r="AE229" s="3" t="s">
        <v>591</v>
      </c>
      <c r="AF229" s="9">
        <f t="shared" si="56"/>
        <v>0</v>
      </c>
    </row>
    <row r="230" spans="1:32" x14ac:dyDescent="0.25">
      <c r="A230" s="21" t="s">
        <v>259</v>
      </c>
      <c r="B230" s="23" t="s">
        <v>520</v>
      </c>
      <c r="D230" s="10">
        <v>0.95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26">
        <v>0</v>
      </c>
      <c r="R230" s="4">
        <f t="shared" si="47"/>
        <v>0</v>
      </c>
      <c r="S230" s="5">
        <f t="shared" si="49"/>
        <v>1.6448536269514715</v>
      </c>
      <c r="T230" s="6">
        <f t="shared" si="50"/>
        <v>0</v>
      </c>
      <c r="U230" s="3">
        <v>1</v>
      </c>
      <c r="V230" s="7">
        <f t="shared" si="48"/>
        <v>0.23076923076923078</v>
      </c>
      <c r="W230" s="18">
        <f t="shared" si="51"/>
        <v>0</v>
      </c>
      <c r="X230" s="19">
        <f t="shared" si="52"/>
        <v>0</v>
      </c>
      <c r="Y230" s="8">
        <f t="shared" si="53"/>
        <v>0</v>
      </c>
      <c r="Z230" s="8">
        <f t="shared" si="54"/>
        <v>0</v>
      </c>
      <c r="AA230" s="9">
        <f t="shared" si="55"/>
        <v>0</v>
      </c>
      <c r="AC230" s="3" t="s">
        <v>554</v>
      </c>
      <c r="AD230" s="3" t="s">
        <v>554</v>
      </c>
      <c r="AE230" s="3" t="s">
        <v>591</v>
      </c>
      <c r="AF230" s="9">
        <f t="shared" si="56"/>
        <v>0</v>
      </c>
    </row>
    <row r="231" spans="1:32" x14ac:dyDescent="0.25">
      <c r="A231" s="22" t="s">
        <v>260</v>
      </c>
      <c r="B231" s="24" t="s">
        <v>521</v>
      </c>
      <c r="D231" s="10">
        <v>0.95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26">
        <v>0</v>
      </c>
      <c r="R231" s="4">
        <f t="shared" si="47"/>
        <v>0</v>
      </c>
      <c r="S231" s="5">
        <f t="shared" si="49"/>
        <v>1.6448536269514715</v>
      </c>
      <c r="T231" s="6">
        <f t="shared" si="50"/>
        <v>0</v>
      </c>
      <c r="U231" s="3">
        <v>1</v>
      </c>
      <c r="V231" s="7">
        <f t="shared" si="48"/>
        <v>0.23076923076923078</v>
      </c>
      <c r="W231" s="18">
        <f t="shared" si="51"/>
        <v>0</v>
      </c>
      <c r="X231" s="19">
        <f t="shared" si="52"/>
        <v>0</v>
      </c>
      <c r="Y231" s="8">
        <f t="shared" si="53"/>
        <v>0</v>
      </c>
      <c r="Z231" s="8">
        <f t="shared" si="54"/>
        <v>0</v>
      </c>
      <c r="AA231" s="9">
        <f t="shared" si="55"/>
        <v>0</v>
      </c>
      <c r="AC231" s="3" t="s">
        <v>554</v>
      </c>
      <c r="AD231" s="3" t="s">
        <v>554</v>
      </c>
      <c r="AE231" s="3" t="s">
        <v>591</v>
      </c>
      <c r="AF231" s="9">
        <f t="shared" si="56"/>
        <v>0</v>
      </c>
    </row>
    <row r="232" spans="1:32" x14ac:dyDescent="0.25">
      <c r="A232" s="21" t="s">
        <v>261</v>
      </c>
      <c r="B232" s="23" t="s">
        <v>522</v>
      </c>
      <c r="D232" s="10">
        <v>0.95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26">
        <v>0</v>
      </c>
      <c r="R232" s="4">
        <f t="shared" si="47"/>
        <v>0</v>
      </c>
      <c r="S232" s="5">
        <f t="shared" si="49"/>
        <v>1.6448536269514715</v>
      </c>
      <c r="T232" s="6">
        <f t="shared" si="50"/>
        <v>0</v>
      </c>
      <c r="U232" s="3">
        <v>1</v>
      </c>
      <c r="V232" s="7">
        <f t="shared" si="48"/>
        <v>0.23076923076923078</v>
      </c>
      <c r="W232" s="18">
        <f t="shared" si="51"/>
        <v>0</v>
      </c>
      <c r="X232" s="19">
        <f t="shared" si="52"/>
        <v>0</v>
      </c>
      <c r="Y232" s="8">
        <f t="shared" si="53"/>
        <v>0</v>
      </c>
      <c r="Z232" s="8">
        <f t="shared" si="54"/>
        <v>0</v>
      </c>
      <c r="AA232" s="9">
        <f t="shared" si="55"/>
        <v>0</v>
      </c>
      <c r="AC232" s="3" t="s">
        <v>554</v>
      </c>
      <c r="AD232" s="3" t="s">
        <v>554</v>
      </c>
      <c r="AE232" s="3" t="s">
        <v>591</v>
      </c>
      <c r="AF232" s="9">
        <f t="shared" si="56"/>
        <v>0</v>
      </c>
    </row>
    <row r="233" spans="1:32" x14ac:dyDescent="0.25">
      <c r="A233" s="22" t="s">
        <v>262</v>
      </c>
      <c r="B233" s="24" t="s">
        <v>523</v>
      </c>
      <c r="D233" s="10">
        <v>0.95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26">
        <v>0</v>
      </c>
      <c r="R233" s="4">
        <f t="shared" si="47"/>
        <v>0</v>
      </c>
      <c r="S233" s="5">
        <f t="shared" si="49"/>
        <v>1.6448536269514715</v>
      </c>
      <c r="T233" s="6">
        <f t="shared" si="50"/>
        <v>0</v>
      </c>
      <c r="U233" s="3">
        <v>1</v>
      </c>
      <c r="V233" s="7">
        <f t="shared" si="48"/>
        <v>0.23076923076923078</v>
      </c>
      <c r="W233" s="18">
        <f t="shared" si="51"/>
        <v>0</v>
      </c>
      <c r="X233" s="19">
        <f t="shared" si="52"/>
        <v>0</v>
      </c>
      <c r="Y233" s="8">
        <f t="shared" si="53"/>
        <v>0</v>
      </c>
      <c r="Z233" s="8">
        <f t="shared" si="54"/>
        <v>0</v>
      </c>
      <c r="AA233" s="9">
        <f t="shared" si="55"/>
        <v>0</v>
      </c>
      <c r="AC233" s="3" t="s">
        <v>554</v>
      </c>
      <c r="AD233" s="3" t="s">
        <v>554</v>
      </c>
      <c r="AE233" s="3" t="s">
        <v>591</v>
      </c>
      <c r="AF233" s="9">
        <f t="shared" si="56"/>
        <v>0</v>
      </c>
    </row>
    <row r="234" spans="1:32" x14ac:dyDescent="0.25">
      <c r="A234" s="21" t="s">
        <v>263</v>
      </c>
      <c r="B234" s="23" t="s">
        <v>524</v>
      </c>
      <c r="D234" s="10">
        <v>0.95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26">
        <v>0</v>
      </c>
      <c r="R234" s="4">
        <f t="shared" si="47"/>
        <v>0</v>
      </c>
      <c r="S234" s="5">
        <f t="shared" si="49"/>
        <v>1.6448536269514715</v>
      </c>
      <c r="T234" s="6">
        <f t="shared" si="50"/>
        <v>0</v>
      </c>
      <c r="U234" s="3">
        <v>1</v>
      </c>
      <c r="V234" s="7">
        <f t="shared" si="48"/>
        <v>0.23076923076923078</v>
      </c>
      <c r="W234" s="18">
        <f t="shared" si="51"/>
        <v>0</v>
      </c>
      <c r="X234" s="19">
        <f t="shared" si="52"/>
        <v>0</v>
      </c>
      <c r="Y234" s="8">
        <f t="shared" si="53"/>
        <v>0</v>
      </c>
      <c r="Z234" s="8">
        <f t="shared" si="54"/>
        <v>0</v>
      </c>
      <c r="AA234" s="9">
        <f t="shared" si="55"/>
        <v>0</v>
      </c>
      <c r="AC234" s="3" t="s">
        <v>554</v>
      </c>
      <c r="AD234" s="3" t="s">
        <v>554</v>
      </c>
      <c r="AE234" s="3" t="s">
        <v>591</v>
      </c>
      <c r="AF234" s="9">
        <f t="shared" si="56"/>
        <v>0</v>
      </c>
    </row>
    <row r="235" spans="1:32" x14ac:dyDescent="0.25">
      <c r="A235" s="22" t="s">
        <v>264</v>
      </c>
      <c r="B235" s="24" t="s">
        <v>525</v>
      </c>
      <c r="D235" s="10">
        <v>0.95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26">
        <v>0</v>
      </c>
      <c r="R235" s="4">
        <f t="shared" si="47"/>
        <v>0</v>
      </c>
      <c r="S235" s="5">
        <f t="shared" si="49"/>
        <v>1.6448536269514715</v>
      </c>
      <c r="T235" s="6">
        <f t="shared" si="50"/>
        <v>0</v>
      </c>
      <c r="U235" s="3">
        <v>1</v>
      </c>
      <c r="V235" s="7">
        <f t="shared" si="48"/>
        <v>0.23076923076923078</v>
      </c>
      <c r="W235" s="18">
        <f t="shared" si="51"/>
        <v>0</v>
      </c>
      <c r="X235" s="19">
        <f t="shared" si="52"/>
        <v>0</v>
      </c>
      <c r="Y235" s="8">
        <f t="shared" si="53"/>
        <v>0</v>
      </c>
      <c r="Z235" s="8">
        <f t="shared" si="54"/>
        <v>0</v>
      </c>
      <c r="AA235" s="9">
        <f t="shared" si="55"/>
        <v>0</v>
      </c>
      <c r="AC235" s="3" t="s">
        <v>554</v>
      </c>
      <c r="AD235" s="3" t="s">
        <v>554</v>
      </c>
      <c r="AE235" s="3" t="s">
        <v>591</v>
      </c>
      <c r="AF235" s="9">
        <f t="shared" si="56"/>
        <v>0</v>
      </c>
    </row>
    <row r="236" spans="1:32" x14ac:dyDescent="0.25">
      <c r="A236" s="21" t="s">
        <v>265</v>
      </c>
      <c r="B236" s="23" t="s">
        <v>526</v>
      </c>
      <c r="D236" s="10">
        <v>0.95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26">
        <v>0</v>
      </c>
      <c r="R236" s="4">
        <f t="shared" si="47"/>
        <v>0</v>
      </c>
      <c r="S236" s="5">
        <f t="shared" si="49"/>
        <v>1.6448536269514715</v>
      </c>
      <c r="T236" s="6">
        <f t="shared" si="50"/>
        <v>0</v>
      </c>
      <c r="U236" s="3">
        <v>1</v>
      </c>
      <c r="V236" s="7">
        <f t="shared" si="48"/>
        <v>0.23076923076923078</v>
      </c>
      <c r="W236" s="18">
        <f t="shared" si="51"/>
        <v>0</v>
      </c>
      <c r="X236" s="19">
        <f t="shared" si="52"/>
        <v>0</v>
      </c>
      <c r="Y236" s="8">
        <f t="shared" si="53"/>
        <v>0</v>
      </c>
      <c r="Z236" s="8">
        <f t="shared" si="54"/>
        <v>0</v>
      </c>
      <c r="AA236" s="9">
        <f t="shared" si="55"/>
        <v>0</v>
      </c>
      <c r="AC236" s="3" t="s">
        <v>554</v>
      </c>
      <c r="AD236" s="3" t="s">
        <v>554</v>
      </c>
      <c r="AE236" s="3" t="s">
        <v>591</v>
      </c>
      <c r="AF236" s="9">
        <f t="shared" si="56"/>
        <v>0</v>
      </c>
    </row>
    <row r="237" spans="1:32" x14ac:dyDescent="0.25">
      <c r="A237" s="22" t="s">
        <v>266</v>
      </c>
      <c r="B237" s="24" t="s">
        <v>527</v>
      </c>
      <c r="D237" s="10">
        <v>0.95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26">
        <v>0</v>
      </c>
      <c r="R237" s="4">
        <f t="shared" si="47"/>
        <v>0</v>
      </c>
      <c r="S237" s="5">
        <f t="shared" si="49"/>
        <v>1.6448536269514715</v>
      </c>
      <c r="T237" s="6">
        <f t="shared" si="50"/>
        <v>0</v>
      </c>
      <c r="U237" s="3">
        <v>1</v>
      </c>
      <c r="V237" s="7">
        <f t="shared" si="48"/>
        <v>0.23076923076923078</v>
      </c>
      <c r="W237" s="18">
        <f t="shared" si="51"/>
        <v>0</v>
      </c>
      <c r="X237" s="19">
        <f t="shared" si="52"/>
        <v>0</v>
      </c>
      <c r="Y237" s="8">
        <f t="shared" si="53"/>
        <v>0</v>
      </c>
      <c r="Z237" s="8">
        <f t="shared" si="54"/>
        <v>0</v>
      </c>
      <c r="AA237" s="9">
        <f t="shared" si="55"/>
        <v>0</v>
      </c>
      <c r="AC237" s="3" t="s">
        <v>554</v>
      </c>
      <c r="AD237" s="3" t="s">
        <v>554</v>
      </c>
      <c r="AE237" s="3" t="s">
        <v>591</v>
      </c>
      <c r="AF237" s="9">
        <f t="shared" si="56"/>
        <v>0</v>
      </c>
    </row>
    <row r="238" spans="1:32" x14ac:dyDescent="0.25">
      <c r="A238" s="21" t="s">
        <v>267</v>
      </c>
      <c r="B238" s="23" t="s">
        <v>528</v>
      </c>
      <c r="D238" s="10">
        <v>0.95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26">
        <v>0</v>
      </c>
      <c r="R238" s="4">
        <f t="shared" si="47"/>
        <v>0</v>
      </c>
      <c r="S238" s="5">
        <f t="shared" si="49"/>
        <v>1.6448536269514715</v>
      </c>
      <c r="T238" s="6">
        <f t="shared" si="50"/>
        <v>0</v>
      </c>
      <c r="U238" s="3">
        <v>1</v>
      </c>
      <c r="V238" s="7">
        <f t="shared" si="48"/>
        <v>0.23076923076923078</v>
      </c>
      <c r="W238" s="18">
        <f t="shared" si="51"/>
        <v>0</v>
      </c>
      <c r="X238" s="19">
        <f t="shared" si="52"/>
        <v>0</v>
      </c>
      <c r="Y238" s="8">
        <f t="shared" si="53"/>
        <v>0</v>
      </c>
      <c r="Z238" s="8">
        <f t="shared" si="54"/>
        <v>0</v>
      </c>
      <c r="AA238" s="9">
        <f t="shared" si="55"/>
        <v>0</v>
      </c>
      <c r="AC238" s="3" t="s">
        <v>554</v>
      </c>
      <c r="AD238" s="3" t="s">
        <v>554</v>
      </c>
      <c r="AE238" s="3" t="s">
        <v>591</v>
      </c>
      <c r="AF238" s="9">
        <f t="shared" si="56"/>
        <v>0</v>
      </c>
    </row>
    <row r="239" spans="1:32" x14ac:dyDescent="0.25">
      <c r="A239" s="22" t="s">
        <v>268</v>
      </c>
      <c r="B239" s="24" t="s">
        <v>529</v>
      </c>
      <c r="D239" s="10">
        <v>0.95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26">
        <v>0</v>
      </c>
      <c r="R239" s="4">
        <f t="shared" si="47"/>
        <v>0</v>
      </c>
      <c r="S239" s="5">
        <f t="shared" si="49"/>
        <v>1.6448536269514715</v>
      </c>
      <c r="T239" s="6">
        <f t="shared" si="50"/>
        <v>0</v>
      </c>
      <c r="U239" s="3">
        <v>1</v>
      </c>
      <c r="V239" s="7">
        <f t="shared" si="48"/>
        <v>0.23076923076923078</v>
      </c>
      <c r="W239" s="18">
        <f t="shared" si="51"/>
        <v>0</v>
      </c>
      <c r="X239" s="19">
        <f t="shared" si="52"/>
        <v>0</v>
      </c>
      <c r="Y239" s="8">
        <f t="shared" si="53"/>
        <v>0</v>
      </c>
      <c r="Z239" s="8">
        <f t="shared" si="54"/>
        <v>0</v>
      </c>
      <c r="AA239" s="9">
        <f t="shared" si="55"/>
        <v>0</v>
      </c>
      <c r="AC239" s="3" t="s">
        <v>554</v>
      </c>
      <c r="AD239" s="3" t="s">
        <v>554</v>
      </c>
      <c r="AE239" s="3" t="s">
        <v>591</v>
      </c>
      <c r="AF239" s="9">
        <f t="shared" si="56"/>
        <v>0</v>
      </c>
    </row>
    <row r="240" spans="1:32" x14ac:dyDescent="0.25">
      <c r="A240" s="21" t="s">
        <v>269</v>
      </c>
      <c r="B240" s="23" t="s">
        <v>530</v>
      </c>
      <c r="D240" s="10">
        <v>0.95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26">
        <v>0</v>
      </c>
      <c r="R240" s="4">
        <f t="shared" si="47"/>
        <v>0</v>
      </c>
      <c r="S240" s="5">
        <f t="shared" si="49"/>
        <v>1.6448536269514715</v>
      </c>
      <c r="T240" s="6">
        <f t="shared" si="50"/>
        <v>0</v>
      </c>
      <c r="U240" s="3">
        <v>1</v>
      </c>
      <c r="V240" s="7">
        <f t="shared" si="48"/>
        <v>0.23076923076923078</v>
      </c>
      <c r="W240" s="18">
        <f t="shared" si="51"/>
        <v>0</v>
      </c>
      <c r="X240" s="19">
        <f t="shared" si="52"/>
        <v>0</v>
      </c>
      <c r="Y240" s="8">
        <f t="shared" si="53"/>
        <v>0</v>
      </c>
      <c r="Z240" s="8">
        <f t="shared" si="54"/>
        <v>0</v>
      </c>
      <c r="AA240" s="9">
        <f t="shared" si="55"/>
        <v>0</v>
      </c>
      <c r="AC240" s="3" t="s">
        <v>554</v>
      </c>
      <c r="AD240" s="3" t="s">
        <v>554</v>
      </c>
      <c r="AE240" s="3" t="s">
        <v>591</v>
      </c>
      <c r="AF240" s="9">
        <f t="shared" si="56"/>
        <v>0</v>
      </c>
    </row>
    <row r="241" spans="1:32" x14ac:dyDescent="0.25">
      <c r="A241" s="22" t="s">
        <v>270</v>
      </c>
      <c r="B241" s="24" t="s">
        <v>531</v>
      </c>
      <c r="D241" s="10">
        <v>0.95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26">
        <v>0</v>
      </c>
      <c r="R241" s="4">
        <f t="shared" si="47"/>
        <v>0</v>
      </c>
      <c r="S241" s="5">
        <f t="shared" si="49"/>
        <v>1.6448536269514715</v>
      </c>
      <c r="T241" s="6">
        <f t="shared" si="50"/>
        <v>0</v>
      </c>
      <c r="U241" s="3">
        <v>1</v>
      </c>
      <c r="V241" s="7">
        <f t="shared" si="48"/>
        <v>0.23076923076923078</v>
      </c>
      <c r="W241" s="18">
        <f t="shared" si="51"/>
        <v>0</v>
      </c>
      <c r="X241" s="19">
        <f t="shared" si="52"/>
        <v>0</v>
      </c>
      <c r="Y241" s="8">
        <f t="shared" si="53"/>
        <v>0</v>
      </c>
      <c r="Z241" s="8">
        <f t="shared" si="54"/>
        <v>0</v>
      </c>
      <c r="AA241" s="9">
        <f t="shared" si="55"/>
        <v>0</v>
      </c>
      <c r="AC241" s="3" t="s">
        <v>554</v>
      </c>
      <c r="AD241" s="3" t="s">
        <v>554</v>
      </c>
      <c r="AE241" s="3" t="s">
        <v>591</v>
      </c>
      <c r="AF241" s="9">
        <f t="shared" si="56"/>
        <v>0</v>
      </c>
    </row>
    <row r="242" spans="1:32" x14ac:dyDescent="0.25">
      <c r="A242" s="21" t="s">
        <v>271</v>
      </c>
      <c r="B242" s="23" t="s">
        <v>532</v>
      </c>
      <c r="D242" s="10">
        <v>0.95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26">
        <v>1</v>
      </c>
      <c r="R242" s="4">
        <f t="shared" si="47"/>
        <v>8.3333333333333329E-2</v>
      </c>
      <c r="S242" s="5">
        <f t="shared" si="49"/>
        <v>1.6448536269514715</v>
      </c>
      <c r="T242" s="6">
        <f t="shared" si="50"/>
        <v>0.28867513459481287</v>
      </c>
      <c r="U242" s="3">
        <v>1</v>
      </c>
      <c r="V242" s="7">
        <f t="shared" si="48"/>
        <v>0.23076923076923078</v>
      </c>
      <c r="W242" s="18">
        <f t="shared" si="51"/>
        <v>1</v>
      </c>
      <c r="X242" s="19">
        <f t="shared" si="52"/>
        <v>0.12255478529739477</v>
      </c>
      <c r="Y242" s="8">
        <f t="shared" si="53"/>
        <v>0</v>
      </c>
      <c r="Z242" s="8">
        <f t="shared" si="54"/>
        <v>1</v>
      </c>
      <c r="AA242" s="9">
        <f t="shared" si="55"/>
        <v>0</v>
      </c>
      <c r="AC242" s="3" t="s">
        <v>554</v>
      </c>
      <c r="AD242" s="3" t="s">
        <v>554</v>
      </c>
      <c r="AE242" s="3" t="s">
        <v>591</v>
      </c>
      <c r="AF242" s="9">
        <f t="shared" si="56"/>
        <v>0</v>
      </c>
    </row>
    <row r="243" spans="1:32" x14ac:dyDescent="0.25">
      <c r="A243" s="22" t="s">
        <v>272</v>
      </c>
      <c r="B243" s="24" t="s">
        <v>533</v>
      </c>
      <c r="D243" s="10">
        <v>0.95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26">
        <v>0</v>
      </c>
      <c r="R243" s="4">
        <f t="shared" si="47"/>
        <v>0</v>
      </c>
      <c r="S243" s="5">
        <f t="shared" si="49"/>
        <v>1.6448536269514715</v>
      </c>
      <c r="T243" s="6">
        <f t="shared" si="50"/>
        <v>0</v>
      </c>
      <c r="U243" s="3">
        <v>1</v>
      </c>
      <c r="V243" s="7">
        <f t="shared" si="48"/>
        <v>0.23076923076923078</v>
      </c>
      <c r="W243" s="18">
        <f t="shared" si="51"/>
        <v>0</v>
      </c>
      <c r="X243" s="19">
        <f t="shared" si="52"/>
        <v>0</v>
      </c>
      <c r="Y243" s="8">
        <f t="shared" si="53"/>
        <v>0</v>
      </c>
      <c r="Z243" s="8">
        <f t="shared" si="54"/>
        <v>0</v>
      </c>
      <c r="AA243" s="9">
        <f t="shared" si="55"/>
        <v>0</v>
      </c>
      <c r="AC243" s="3" t="s">
        <v>554</v>
      </c>
      <c r="AD243" s="3" t="s">
        <v>554</v>
      </c>
      <c r="AE243" s="3" t="s">
        <v>591</v>
      </c>
      <c r="AF243" s="9">
        <f t="shared" si="56"/>
        <v>0</v>
      </c>
    </row>
    <row r="244" spans="1:32" x14ac:dyDescent="0.25">
      <c r="A244" s="21" t="s">
        <v>273</v>
      </c>
      <c r="B244" s="23" t="s">
        <v>534</v>
      </c>
      <c r="D244" s="10">
        <v>0.95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26">
        <v>0</v>
      </c>
      <c r="R244" s="4">
        <f t="shared" si="47"/>
        <v>0</v>
      </c>
      <c r="S244" s="5">
        <f t="shared" si="49"/>
        <v>1.6448536269514715</v>
      </c>
      <c r="T244" s="6">
        <f t="shared" si="50"/>
        <v>0</v>
      </c>
      <c r="U244" s="3">
        <v>1</v>
      </c>
      <c r="V244" s="7">
        <f t="shared" si="48"/>
        <v>0.23076923076923078</v>
      </c>
      <c r="W244" s="18">
        <f t="shared" si="51"/>
        <v>0</v>
      </c>
      <c r="X244" s="19">
        <f t="shared" si="52"/>
        <v>0</v>
      </c>
      <c r="Y244" s="8">
        <f t="shared" si="53"/>
        <v>0</v>
      </c>
      <c r="Z244" s="8">
        <f t="shared" si="54"/>
        <v>0</v>
      </c>
      <c r="AA244" s="9">
        <f t="shared" si="55"/>
        <v>0</v>
      </c>
      <c r="AC244" s="3" t="s">
        <v>554</v>
      </c>
      <c r="AD244" s="3" t="s">
        <v>554</v>
      </c>
      <c r="AE244" s="3" t="s">
        <v>591</v>
      </c>
      <c r="AF244" s="9">
        <f t="shared" si="56"/>
        <v>0</v>
      </c>
    </row>
    <row r="245" spans="1:32" x14ac:dyDescent="0.25">
      <c r="A245" s="22" t="s">
        <v>274</v>
      </c>
      <c r="B245" s="24" t="s">
        <v>535</v>
      </c>
      <c r="D245" s="10">
        <v>0.95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26">
        <v>0</v>
      </c>
      <c r="R245" s="4">
        <f t="shared" si="47"/>
        <v>0</v>
      </c>
      <c r="S245" s="5">
        <f t="shared" si="49"/>
        <v>1.6448536269514715</v>
      </c>
      <c r="T245" s="6">
        <f t="shared" si="50"/>
        <v>0</v>
      </c>
      <c r="U245" s="3">
        <v>1</v>
      </c>
      <c r="V245" s="7">
        <f t="shared" si="48"/>
        <v>0.23076923076923078</v>
      </c>
      <c r="W245" s="18">
        <f t="shared" si="51"/>
        <v>0</v>
      </c>
      <c r="X245" s="19">
        <f t="shared" si="52"/>
        <v>0</v>
      </c>
      <c r="Y245" s="8">
        <f t="shared" si="53"/>
        <v>0</v>
      </c>
      <c r="Z245" s="8">
        <f t="shared" si="54"/>
        <v>0</v>
      </c>
      <c r="AA245" s="9">
        <f t="shared" si="55"/>
        <v>0</v>
      </c>
      <c r="AC245" s="3" t="s">
        <v>554</v>
      </c>
      <c r="AD245" s="3" t="s">
        <v>554</v>
      </c>
      <c r="AE245" s="3" t="s">
        <v>591</v>
      </c>
      <c r="AF245" s="9">
        <f t="shared" si="56"/>
        <v>0</v>
      </c>
    </row>
    <row r="246" spans="1:32" x14ac:dyDescent="0.25">
      <c r="A246" s="21" t="s">
        <v>275</v>
      </c>
      <c r="B246" s="23" t="s">
        <v>536</v>
      </c>
      <c r="D246" s="10">
        <v>0.95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26">
        <v>0</v>
      </c>
      <c r="R246" s="4">
        <f t="shared" si="47"/>
        <v>0</v>
      </c>
      <c r="S246" s="5">
        <f t="shared" si="49"/>
        <v>1.6448536269514715</v>
      </c>
      <c r="T246" s="6">
        <f t="shared" si="50"/>
        <v>0</v>
      </c>
      <c r="U246" s="3">
        <v>1</v>
      </c>
      <c r="V246" s="7">
        <f t="shared" si="48"/>
        <v>0.23076923076923078</v>
      </c>
      <c r="W246" s="18">
        <f t="shared" si="51"/>
        <v>0</v>
      </c>
      <c r="X246" s="19">
        <f t="shared" si="52"/>
        <v>0</v>
      </c>
      <c r="Y246" s="8">
        <f t="shared" si="53"/>
        <v>0</v>
      </c>
      <c r="Z246" s="8">
        <f t="shared" si="54"/>
        <v>0</v>
      </c>
      <c r="AA246" s="9">
        <f t="shared" si="55"/>
        <v>0</v>
      </c>
      <c r="AC246" s="3" t="s">
        <v>554</v>
      </c>
      <c r="AD246" s="3" t="s">
        <v>554</v>
      </c>
      <c r="AE246" s="3" t="s">
        <v>591</v>
      </c>
      <c r="AF246" s="9">
        <f t="shared" si="56"/>
        <v>0</v>
      </c>
    </row>
    <row r="247" spans="1:32" x14ac:dyDescent="0.25">
      <c r="A247" s="22" t="s">
        <v>276</v>
      </c>
      <c r="B247" s="24" t="s">
        <v>537</v>
      </c>
      <c r="D247" s="10">
        <v>0.95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26">
        <v>0</v>
      </c>
      <c r="R247" s="4">
        <f t="shared" si="47"/>
        <v>0</v>
      </c>
      <c r="S247" s="5">
        <f t="shared" si="49"/>
        <v>1.6448536269514715</v>
      </c>
      <c r="T247" s="6">
        <f t="shared" si="50"/>
        <v>0</v>
      </c>
      <c r="U247" s="3">
        <v>1</v>
      </c>
      <c r="V247" s="7">
        <f t="shared" si="48"/>
        <v>0.23076923076923078</v>
      </c>
      <c r="W247" s="18">
        <f t="shared" si="51"/>
        <v>0</v>
      </c>
      <c r="X247" s="19">
        <f t="shared" si="52"/>
        <v>0</v>
      </c>
      <c r="Y247" s="8">
        <f t="shared" si="53"/>
        <v>0</v>
      </c>
      <c r="Z247" s="8">
        <f t="shared" si="54"/>
        <v>0</v>
      </c>
      <c r="AA247" s="9">
        <f t="shared" si="55"/>
        <v>0</v>
      </c>
      <c r="AC247" s="3" t="s">
        <v>554</v>
      </c>
      <c r="AD247" s="3" t="s">
        <v>554</v>
      </c>
      <c r="AE247" s="3" t="s">
        <v>591</v>
      </c>
      <c r="AF247" s="9">
        <f t="shared" si="56"/>
        <v>0</v>
      </c>
    </row>
    <row r="248" spans="1:32" x14ac:dyDescent="0.25">
      <c r="A248" s="21" t="s">
        <v>277</v>
      </c>
      <c r="B248" s="23" t="s">
        <v>538</v>
      </c>
      <c r="D248" s="10">
        <v>0.95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26">
        <v>0</v>
      </c>
      <c r="R248" s="4">
        <f t="shared" si="47"/>
        <v>0</v>
      </c>
      <c r="S248" s="5">
        <f t="shared" si="49"/>
        <v>1.6448536269514715</v>
      </c>
      <c r="T248" s="6">
        <f t="shared" si="50"/>
        <v>0</v>
      </c>
      <c r="U248" s="3">
        <v>1</v>
      </c>
      <c r="V248" s="7">
        <f t="shared" si="48"/>
        <v>0.23076923076923078</v>
      </c>
      <c r="W248" s="18">
        <f t="shared" si="51"/>
        <v>0</v>
      </c>
      <c r="X248" s="19">
        <f t="shared" si="52"/>
        <v>0</v>
      </c>
      <c r="Y248" s="8">
        <f t="shared" si="53"/>
        <v>0</v>
      </c>
      <c r="Z248" s="8">
        <f t="shared" si="54"/>
        <v>0</v>
      </c>
      <c r="AA248" s="9">
        <f t="shared" si="55"/>
        <v>0</v>
      </c>
      <c r="AC248" s="3" t="s">
        <v>554</v>
      </c>
      <c r="AD248" s="3" t="s">
        <v>554</v>
      </c>
      <c r="AE248" s="3" t="s">
        <v>591</v>
      </c>
      <c r="AF248" s="9">
        <f t="shared" si="56"/>
        <v>0</v>
      </c>
    </row>
    <row r="249" spans="1:32" x14ac:dyDescent="0.25">
      <c r="A249" s="22" t="s">
        <v>278</v>
      </c>
      <c r="B249" s="24" t="s">
        <v>539</v>
      </c>
      <c r="D249" s="10">
        <v>0.95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26">
        <v>0</v>
      </c>
      <c r="R249" s="4">
        <f t="shared" si="47"/>
        <v>0</v>
      </c>
      <c r="S249" s="5">
        <f t="shared" si="49"/>
        <v>1.6448536269514715</v>
      </c>
      <c r="T249" s="6">
        <f t="shared" si="50"/>
        <v>0</v>
      </c>
      <c r="U249" s="3">
        <v>1</v>
      </c>
      <c r="V249" s="7">
        <f t="shared" si="48"/>
        <v>0.23076923076923078</v>
      </c>
      <c r="W249" s="18">
        <f t="shared" si="51"/>
        <v>0</v>
      </c>
      <c r="X249" s="19">
        <f t="shared" si="52"/>
        <v>0</v>
      </c>
      <c r="Y249" s="8">
        <f t="shared" si="53"/>
        <v>0</v>
      </c>
      <c r="Z249" s="8">
        <f t="shared" si="54"/>
        <v>0</v>
      </c>
      <c r="AA249" s="9">
        <f t="shared" si="55"/>
        <v>0</v>
      </c>
      <c r="AC249" s="3" t="s">
        <v>554</v>
      </c>
      <c r="AD249" s="3" t="s">
        <v>554</v>
      </c>
      <c r="AE249" s="3" t="s">
        <v>591</v>
      </c>
      <c r="AF249" s="9">
        <f t="shared" si="56"/>
        <v>0</v>
      </c>
    </row>
    <row r="250" spans="1:32" x14ac:dyDescent="0.25">
      <c r="A250" s="21" t="s">
        <v>279</v>
      </c>
      <c r="B250" s="23" t="s">
        <v>540</v>
      </c>
      <c r="D250" s="10">
        <v>0.95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26">
        <v>0</v>
      </c>
      <c r="R250" s="4">
        <f t="shared" si="47"/>
        <v>0</v>
      </c>
      <c r="S250" s="5">
        <f t="shared" si="49"/>
        <v>1.6448536269514715</v>
      </c>
      <c r="T250" s="6">
        <f t="shared" si="50"/>
        <v>0</v>
      </c>
      <c r="U250" s="3">
        <v>1</v>
      </c>
      <c r="V250" s="7">
        <f t="shared" si="48"/>
        <v>0.23076923076923078</v>
      </c>
      <c r="W250" s="18">
        <f t="shared" si="51"/>
        <v>0</v>
      </c>
      <c r="X250" s="19">
        <f t="shared" si="52"/>
        <v>0</v>
      </c>
      <c r="Y250" s="8">
        <f t="shared" si="53"/>
        <v>0</v>
      </c>
      <c r="Z250" s="8">
        <f t="shared" si="54"/>
        <v>0</v>
      </c>
      <c r="AA250" s="9">
        <f t="shared" si="55"/>
        <v>0</v>
      </c>
      <c r="AC250" s="3" t="s">
        <v>554</v>
      </c>
      <c r="AD250" s="3" t="s">
        <v>554</v>
      </c>
      <c r="AE250" s="3" t="s">
        <v>591</v>
      </c>
      <c r="AF250" s="9">
        <f t="shared" si="56"/>
        <v>0</v>
      </c>
    </row>
    <row r="251" spans="1:32" x14ac:dyDescent="0.25">
      <c r="A251" s="22" t="s">
        <v>280</v>
      </c>
      <c r="B251" s="24" t="s">
        <v>541</v>
      </c>
      <c r="D251" s="10">
        <v>0.95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26">
        <v>1</v>
      </c>
      <c r="R251" s="4">
        <f t="shared" si="47"/>
        <v>8.3333333333333329E-2</v>
      </c>
      <c r="S251" s="5">
        <f t="shared" si="49"/>
        <v>1.6448536269514715</v>
      </c>
      <c r="T251" s="6">
        <f t="shared" si="50"/>
        <v>0.28867513459481287</v>
      </c>
      <c r="U251" s="3">
        <v>1</v>
      </c>
      <c r="V251" s="7">
        <f t="shared" si="48"/>
        <v>0.23076923076923078</v>
      </c>
      <c r="W251" s="18">
        <f t="shared" si="51"/>
        <v>1</v>
      </c>
      <c r="X251" s="19">
        <f t="shared" si="52"/>
        <v>0.12255478529739477</v>
      </c>
      <c r="Y251" s="8">
        <f t="shared" si="53"/>
        <v>0</v>
      </c>
      <c r="Z251" s="8">
        <f t="shared" si="54"/>
        <v>1</v>
      </c>
      <c r="AA251" s="9">
        <f t="shared" si="55"/>
        <v>0</v>
      </c>
      <c r="AC251" s="3" t="s">
        <v>554</v>
      </c>
      <c r="AD251" s="3" t="s">
        <v>554</v>
      </c>
      <c r="AE251" s="3" t="s">
        <v>591</v>
      </c>
      <c r="AF251" s="9">
        <f t="shared" si="56"/>
        <v>0</v>
      </c>
    </row>
    <row r="252" spans="1:32" x14ac:dyDescent="0.25">
      <c r="A252" s="21" t="s">
        <v>281</v>
      </c>
      <c r="B252" s="23" t="s">
        <v>542</v>
      </c>
      <c r="D252" s="10">
        <v>0.95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26">
        <v>0</v>
      </c>
      <c r="R252" s="4">
        <f t="shared" si="47"/>
        <v>0</v>
      </c>
      <c r="S252" s="5">
        <f t="shared" si="49"/>
        <v>1.6448536269514715</v>
      </c>
      <c r="T252" s="6">
        <f t="shared" si="50"/>
        <v>0</v>
      </c>
      <c r="U252" s="3">
        <v>1</v>
      </c>
      <c r="V252" s="7">
        <f t="shared" si="48"/>
        <v>0.23076923076923078</v>
      </c>
      <c r="W252" s="18">
        <f t="shared" si="51"/>
        <v>0</v>
      </c>
      <c r="X252" s="19">
        <f t="shared" si="52"/>
        <v>0</v>
      </c>
      <c r="Y252" s="8">
        <f t="shared" si="53"/>
        <v>0</v>
      </c>
      <c r="Z252" s="8">
        <f t="shared" si="54"/>
        <v>0</v>
      </c>
      <c r="AA252" s="9">
        <f t="shared" si="55"/>
        <v>0</v>
      </c>
      <c r="AC252" s="3" t="s">
        <v>554</v>
      </c>
      <c r="AD252" s="3" t="s">
        <v>554</v>
      </c>
      <c r="AE252" s="3" t="s">
        <v>591</v>
      </c>
      <c r="AF252" s="9">
        <f t="shared" si="56"/>
        <v>0</v>
      </c>
    </row>
    <row r="253" spans="1:32" x14ac:dyDescent="0.25">
      <c r="A253" s="22" t="s">
        <v>282</v>
      </c>
      <c r="B253" s="24" t="s">
        <v>543</v>
      </c>
      <c r="D253" s="10">
        <v>0.95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26">
        <v>0</v>
      </c>
      <c r="R253" s="4">
        <f t="shared" si="47"/>
        <v>0</v>
      </c>
      <c r="S253" s="5">
        <f t="shared" si="49"/>
        <v>1.6448536269514715</v>
      </c>
      <c r="T253" s="6">
        <f t="shared" si="50"/>
        <v>0</v>
      </c>
      <c r="U253" s="3">
        <v>1</v>
      </c>
      <c r="V253" s="7">
        <f t="shared" si="48"/>
        <v>0.23076923076923078</v>
      </c>
      <c r="W253" s="18">
        <f t="shared" si="51"/>
        <v>0</v>
      </c>
      <c r="X253" s="19">
        <f t="shared" si="52"/>
        <v>0</v>
      </c>
      <c r="Y253" s="8">
        <f t="shared" si="53"/>
        <v>0</v>
      </c>
      <c r="Z253" s="8">
        <f t="shared" si="54"/>
        <v>0</v>
      </c>
      <c r="AA253" s="9">
        <f t="shared" si="55"/>
        <v>0</v>
      </c>
      <c r="AC253" s="3" t="s">
        <v>554</v>
      </c>
      <c r="AD253" s="3" t="s">
        <v>554</v>
      </c>
      <c r="AE253" s="3" t="s">
        <v>591</v>
      </c>
      <c r="AF253" s="9">
        <f t="shared" si="56"/>
        <v>0</v>
      </c>
    </row>
    <row r="254" spans="1:32" x14ac:dyDescent="0.25">
      <c r="A254" s="21" t="s">
        <v>283</v>
      </c>
      <c r="B254" s="23" t="s">
        <v>544</v>
      </c>
      <c r="D254" s="10">
        <v>0.95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26">
        <v>0</v>
      </c>
      <c r="R254" s="4">
        <f t="shared" si="47"/>
        <v>0</v>
      </c>
      <c r="S254" s="5">
        <f t="shared" si="49"/>
        <v>1.6448536269514715</v>
      </c>
      <c r="T254" s="6">
        <f t="shared" si="50"/>
        <v>0</v>
      </c>
      <c r="U254" s="3">
        <v>1</v>
      </c>
      <c r="V254" s="7">
        <f t="shared" si="48"/>
        <v>0.23076923076923078</v>
      </c>
      <c r="W254" s="18">
        <f t="shared" si="51"/>
        <v>0</v>
      </c>
      <c r="X254" s="19">
        <f t="shared" si="52"/>
        <v>0</v>
      </c>
      <c r="Y254" s="8">
        <f t="shared" si="53"/>
        <v>0</v>
      </c>
      <c r="Z254" s="8">
        <f t="shared" si="54"/>
        <v>0</v>
      </c>
      <c r="AA254" s="9">
        <f t="shared" si="55"/>
        <v>0</v>
      </c>
      <c r="AC254" s="3" t="s">
        <v>554</v>
      </c>
      <c r="AD254" s="3" t="s">
        <v>554</v>
      </c>
      <c r="AE254" s="3" t="s">
        <v>591</v>
      </c>
      <c r="AF254" s="9">
        <f t="shared" si="56"/>
        <v>0</v>
      </c>
    </row>
    <row r="255" spans="1:32" x14ac:dyDescent="0.25">
      <c r="A255" s="22" t="s">
        <v>284</v>
      </c>
      <c r="B255" s="24" t="s">
        <v>545</v>
      </c>
      <c r="D255" s="10">
        <v>0.95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26">
        <v>0</v>
      </c>
      <c r="R255" s="4">
        <f t="shared" si="47"/>
        <v>0</v>
      </c>
      <c r="S255" s="5">
        <f t="shared" si="49"/>
        <v>1.6448536269514715</v>
      </c>
      <c r="T255" s="6">
        <f t="shared" si="50"/>
        <v>0</v>
      </c>
      <c r="U255" s="3">
        <v>1</v>
      </c>
      <c r="V255" s="7">
        <f t="shared" si="48"/>
        <v>0.23076923076923078</v>
      </c>
      <c r="W255" s="18">
        <f t="shared" si="51"/>
        <v>0</v>
      </c>
      <c r="X255" s="19">
        <f t="shared" si="52"/>
        <v>0</v>
      </c>
      <c r="Y255" s="8">
        <f t="shared" si="53"/>
        <v>0</v>
      </c>
      <c r="Z255" s="8">
        <f t="shared" si="54"/>
        <v>0</v>
      </c>
      <c r="AA255" s="9">
        <f t="shared" si="55"/>
        <v>0</v>
      </c>
      <c r="AC255" s="3" t="s">
        <v>554</v>
      </c>
      <c r="AD255" s="3" t="s">
        <v>554</v>
      </c>
      <c r="AE255" s="3" t="s">
        <v>591</v>
      </c>
      <c r="AF255" s="9">
        <f t="shared" si="56"/>
        <v>0</v>
      </c>
    </row>
    <row r="256" spans="1:32" x14ac:dyDescent="0.25">
      <c r="A256" s="21" t="s">
        <v>285</v>
      </c>
      <c r="B256" s="23" t="s">
        <v>546</v>
      </c>
      <c r="D256" s="10">
        <v>0.95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26">
        <v>0</v>
      </c>
      <c r="R256" s="4">
        <f t="shared" si="47"/>
        <v>0</v>
      </c>
      <c r="S256" s="5">
        <f t="shared" si="49"/>
        <v>1.6448536269514715</v>
      </c>
      <c r="T256" s="6">
        <f t="shared" si="50"/>
        <v>0</v>
      </c>
      <c r="U256" s="3">
        <v>1</v>
      </c>
      <c r="V256" s="7">
        <f t="shared" si="48"/>
        <v>0.23076923076923078</v>
      </c>
      <c r="W256" s="18">
        <f t="shared" si="51"/>
        <v>0</v>
      </c>
      <c r="X256" s="19">
        <f t="shared" si="52"/>
        <v>0</v>
      </c>
      <c r="Y256" s="8">
        <f t="shared" si="53"/>
        <v>0</v>
      </c>
      <c r="Z256" s="8">
        <f t="shared" si="54"/>
        <v>0</v>
      </c>
      <c r="AA256" s="9">
        <f t="shared" si="55"/>
        <v>0</v>
      </c>
      <c r="AC256" s="3" t="s">
        <v>554</v>
      </c>
      <c r="AD256" s="3" t="s">
        <v>554</v>
      </c>
      <c r="AE256" s="3" t="s">
        <v>591</v>
      </c>
      <c r="AF256" s="9">
        <f t="shared" si="56"/>
        <v>0</v>
      </c>
    </row>
    <row r="257" spans="1:32" x14ac:dyDescent="0.25">
      <c r="A257" s="22" t="s">
        <v>286</v>
      </c>
      <c r="B257" s="24" t="s">
        <v>547</v>
      </c>
      <c r="D257" s="10">
        <v>0.95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26">
        <v>0</v>
      </c>
      <c r="R257" s="4">
        <f t="shared" si="47"/>
        <v>0</v>
      </c>
      <c r="S257" s="5">
        <f t="shared" si="49"/>
        <v>1.6448536269514715</v>
      </c>
      <c r="T257" s="6">
        <f t="shared" si="50"/>
        <v>0</v>
      </c>
      <c r="U257" s="3">
        <v>1</v>
      </c>
      <c r="V257" s="7">
        <f t="shared" si="48"/>
        <v>0.23076923076923078</v>
      </c>
      <c r="W257" s="18">
        <f t="shared" si="51"/>
        <v>0</v>
      </c>
      <c r="X257" s="19">
        <f t="shared" si="52"/>
        <v>0</v>
      </c>
      <c r="Y257" s="8">
        <f t="shared" si="53"/>
        <v>0</v>
      </c>
      <c r="Z257" s="8">
        <f t="shared" si="54"/>
        <v>0</v>
      </c>
      <c r="AA257" s="9">
        <f t="shared" si="55"/>
        <v>0</v>
      </c>
      <c r="AC257" s="3" t="s">
        <v>554</v>
      </c>
      <c r="AD257" s="3" t="s">
        <v>554</v>
      </c>
      <c r="AE257" s="3" t="s">
        <v>591</v>
      </c>
      <c r="AF257" s="9">
        <f t="shared" si="56"/>
        <v>0</v>
      </c>
    </row>
    <row r="258" spans="1:32" x14ac:dyDescent="0.25">
      <c r="A258" s="21" t="s">
        <v>287</v>
      </c>
      <c r="B258" s="23" t="s">
        <v>548</v>
      </c>
      <c r="D258" s="10">
        <v>0.95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26">
        <v>0</v>
      </c>
      <c r="R258" s="4">
        <f t="shared" si="47"/>
        <v>0</v>
      </c>
      <c r="S258" s="5">
        <f t="shared" si="49"/>
        <v>1.6448536269514715</v>
      </c>
      <c r="T258" s="6">
        <f t="shared" si="50"/>
        <v>0</v>
      </c>
      <c r="U258" s="3">
        <v>1</v>
      </c>
      <c r="V258" s="7">
        <f t="shared" si="48"/>
        <v>0.23076923076923078</v>
      </c>
      <c r="W258" s="18">
        <f t="shared" si="51"/>
        <v>0</v>
      </c>
      <c r="X258" s="19">
        <f t="shared" si="52"/>
        <v>0</v>
      </c>
      <c r="Y258" s="8">
        <f t="shared" si="53"/>
        <v>0</v>
      </c>
      <c r="Z258" s="8">
        <f t="shared" si="54"/>
        <v>0</v>
      </c>
      <c r="AA258" s="9">
        <f t="shared" si="55"/>
        <v>0</v>
      </c>
      <c r="AC258" s="3" t="s">
        <v>554</v>
      </c>
      <c r="AD258" s="3" t="s">
        <v>554</v>
      </c>
      <c r="AE258" s="3" t="s">
        <v>591</v>
      </c>
      <c r="AF258" s="9">
        <f t="shared" si="56"/>
        <v>0</v>
      </c>
    </row>
    <row r="259" spans="1:32" x14ac:dyDescent="0.25">
      <c r="A259" s="22" t="s">
        <v>288</v>
      </c>
      <c r="B259" s="24" t="s">
        <v>549</v>
      </c>
      <c r="D259" s="10">
        <v>0.95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26">
        <v>0</v>
      </c>
      <c r="R259" s="4">
        <f t="shared" ref="R259:R262" si="57">Q259/12</f>
        <v>0</v>
      </c>
      <c r="S259" s="5">
        <f t="shared" si="49"/>
        <v>1.6448536269514715</v>
      </c>
      <c r="T259" s="6">
        <f t="shared" si="50"/>
        <v>0</v>
      </c>
      <c r="U259" s="3">
        <v>1</v>
      </c>
      <c r="V259" s="7">
        <f t="shared" ref="V259:V262" si="58">U259/52*12</f>
        <v>0.23076923076923078</v>
      </c>
      <c r="W259" s="18">
        <f t="shared" si="51"/>
        <v>0</v>
      </c>
      <c r="X259" s="19">
        <f t="shared" si="52"/>
        <v>0</v>
      </c>
      <c r="Y259" s="8">
        <f t="shared" si="53"/>
        <v>0</v>
      </c>
      <c r="Z259" s="8">
        <f t="shared" si="54"/>
        <v>0</v>
      </c>
      <c r="AA259" s="9">
        <f t="shared" si="55"/>
        <v>0</v>
      </c>
      <c r="AC259" s="3" t="s">
        <v>554</v>
      </c>
      <c r="AD259" s="3" t="s">
        <v>554</v>
      </c>
      <c r="AE259" s="3" t="s">
        <v>591</v>
      </c>
      <c r="AF259" s="9">
        <f t="shared" si="56"/>
        <v>0</v>
      </c>
    </row>
    <row r="260" spans="1:32" x14ac:dyDescent="0.25">
      <c r="A260" s="21" t="s">
        <v>289</v>
      </c>
      <c r="B260" s="23" t="s">
        <v>550</v>
      </c>
      <c r="D260" s="10">
        <v>0.95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26">
        <v>0</v>
      </c>
      <c r="R260" s="4">
        <f t="shared" si="57"/>
        <v>0</v>
      </c>
      <c r="S260" s="5">
        <f t="shared" si="49"/>
        <v>1.6448536269514715</v>
      </c>
      <c r="T260" s="6">
        <f t="shared" si="50"/>
        <v>0</v>
      </c>
      <c r="U260" s="3">
        <v>1</v>
      </c>
      <c r="V260" s="7">
        <f t="shared" si="58"/>
        <v>0.23076923076923078</v>
      </c>
      <c r="W260" s="18">
        <f t="shared" si="51"/>
        <v>0</v>
      </c>
      <c r="X260" s="19">
        <f t="shared" si="52"/>
        <v>0</v>
      </c>
      <c r="Y260" s="8">
        <f t="shared" si="53"/>
        <v>0</v>
      </c>
      <c r="Z260" s="8">
        <f t="shared" si="54"/>
        <v>0</v>
      </c>
      <c r="AA260" s="9">
        <f t="shared" si="55"/>
        <v>0</v>
      </c>
      <c r="AC260" s="3" t="s">
        <v>554</v>
      </c>
      <c r="AD260" s="3" t="s">
        <v>554</v>
      </c>
      <c r="AE260" s="3" t="s">
        <v>591</v>
      </c>
      <c r="AF260" s="9">
        <f t="shared" si="56"/>
        <v>0</v>
      </c>
    </row>
    <row r="261" spans="1:32" x14ac:dyDescent="0.25">
      <c r="A261" s="22" t="s">
        <v>290</v>
      </c>
      <c r="B261" s="24" t="s">
        <v>551</v>
      </c>
      <c r="D261" s="10">
        <v>0.95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26">
        <v>0</v>
      </c>
      <c r="R261" s="4">
        <f t="shared" si="57"/>
        <v>0</v>
      </c>
      <c r="S261" s="5">
        <f t="shared" si="49"/>
        <v>1.6448536269514715</v>
      </c>
      <c r="T261" s="6">
        <f t="shared" si="50"/>
        <v>0</v>
      </c>
      <c r="U261" s="3">
        <v>1</v>
      </c>
      <c r="V261" s="7">
        <f t="shared" si="58"/>
        <v>0.23076923076923078</v>
      </c>
      <c r="W261" s="18">
        <f t="shared" si="51"/>
        <v>0</v>
      </c>
      <c r="X261" s="19">
        <f t="shared" si="52"/>
        <v>0</v>
      </c>
      <c r="Y261" s="8">
        <f t="shared" si="53"/>
        <v>0</v>
      </c>
      <c r="Z261" s="8">
        <f t="shared" si="54"/>
        <v>0</v>
      </c>
      <c r="AA261" s="9">
        <f t="shared" si="55"/>
        <v>0</v>
      </c>
      <c r="AC261" s="3" t="s">
        <v>554</v>
      </c>
      <c r="AD261" s="3" t="s">
        <v>554</v>
      </c>
      <c r="AE261" s="3" t="s">
        <v>591</v>
      </c>
      <c r="AF261" s="9">
        <f t="shared" si="56"/>
        <v>0</v>
      </c>
    </row>
    <row r="262" spans="1:32" x14ac:dyDescent="0.25">
      <c r="A262" s="21" t="s">
        <v>291</v>
      </c>
      <c r="B262" s="23" t="s">
        <v>552</v>
      </c>
      <c r="D262" s="10">
        <v>0.95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26">
        <v>0</v>
      </c>
      <c r="R262" s="4">
        <f t="shared" si="57"/>
        <v>0</v>
      </c>
      <c r="S262" s="5">
        <f t="shared" si="49"/>
        <v>1.6448536269514715</v>
      </c>
      <c r="T262" s="6">
        <f t="shared" si="50"/>
        <v>0</v>
      </c>
      <c r="U262" s="3">
        <v>1</v>
      </c>
      <c r="V262" s="7">
        <f t="shared" si="58"/>
        <v>0.23076923076923078</v>
      </c>
      <c r="W262" s="18">
        <f t="shared" si="51"/>
        <v>0</v>
      </c>
      <c r="X262" s="19">
        <f t="shared" si="52"/>
        <v>0</v>
      </c>
      <c r="Y262" s="8">
        <f t="shared" si="53"/>
        <v>0</v>
      </c>
      <c r="Z262" s="8">
        <f t="shared" si="54"/>
        <v>0</v>
      </c>
      <c r="AA262" s="9">
        <f t="shared" si="55"/>
        <v>0</v>
      </c>
      <c r="AC262" s="3" t="s">
        <v>554</v>
      </c>
      <c r="AD262" s="3" t="s">
        <v>554</v>
      </c>
      <c r="AE262" s="3" t="s">
        <v>591</v>
      </c>
      <c r="AF262" s="9">
        <f t="shared" si="56"/>
        <v>0</v>
      </c>
    </row>
  </sheetData>
  <autoFilter ref="A1:AF262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SIGCS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pim.deruiter</dc:creator>
  <cp:lastModifiedBy>Koopman, Vincent - UltimAir</cp:lastModifiedBy>
  <dcterms:created xsi:type="dcterms:W3CDTF">2016-04-11T10:47:55Z</dcterms:created>
  <dcterms:modified xsi:type="dcterms:W3CDTF">2026-03-19T12:38:11Z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;	;	{	}	[@[{0}]]	1043</vt:lpwstr>
  </property>
</Properties>
</file>